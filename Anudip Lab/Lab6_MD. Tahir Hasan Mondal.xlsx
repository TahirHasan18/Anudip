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19c1016ca04611/Desktop/Anudip Lab/"/>
    </mc:Choice>
  </mc:AlternateContent>
  <xr:revisionPtr revIDLastSave="404" documentId="8_{31060099-EDB6-4312-8144-E3310B91BD02}" xr6:coauthVersionLast="47" xr6:coauthVersionMax="47" xr10:uidLastSave="{331264C5-374D-405F-9AAE-AC480D7802B2}"/>
  <bookViews>
    <workbookView xWindow="-110" yWindow="-110" windowWidth="19420" windowHeight="11500" xr2:uid="{654C2A1B-1D89-4C7F-A5E4-CAEF10270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0" i="1" l="1"/>
  <c r="K86" i="1"/>
  <c r="S89" i="1"/>
  <c r="K73" i="1"/>
  <c r="O73" i="1"/>
  <c r="N73" i="1"/>
  <c r="M73" i="1"/>
  <c r="L73" i="1"/>
  <c r="L47" i="1"/>
  <c r="O38" i="1"/>
  <c r="N38" i="1"/>
  <c r="M38" i="1"/>
  <c r="L38" i="1"/>
  <c r="K38" i="1"/>
  <c r="O26" i="1"/>
  <c r="N26" i="1"/>
  <c r="M26" i="1"/>
  <c r="L26" i="1"/>
  <c r="K26" i="1"/>
  <c r="K19" i="1"/>
  <c r="K12" i="1"/>
  <c r="K5" i="1"/>
  <c r="P73" i="1" l="1"/>
  <c r="P38" i="1"/>
  <c r="P26" i="1"/>
</calcChain>
</file>

<file path=xl/sharedStrings.xml><?xml version="1.0" encoding="utf-8"?>
<sst xmlns="http://schemas.openxmlformats.org/spreadsheetml/2006/main" count="121" uniqueCount="35">
  <si>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</si>
  <si>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</si>
  <si>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</si>
  <si>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</si>
  <si>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</si>
  <si>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</si>
  <si>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</si>
  <si>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</si>
  <si>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</si>
  <si>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</si>
  <si>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</si>
  <si>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r>
      <rPr>
        <b/>
        <sz val="12"/>
        <color theme="1"/>
        <rFont val="Calibri"/>
        <family val="2"/>
        <scheme val="minor"/>
      </rPr>
      <t>1. Use HLOOKUP to find the sales for Product A in March.</t>
    </r>
    <r>
      <rPr>
        <sz val="11"/>
        <color theme="1"/>
        <rFont val="Calibri"/>
        <family val="2"/>
        <scheme val="minor"/>
      </rPr>
      <t xml:space="preserve"> </t>
    </r>
  </si>
  <si>
    <t>Month</t>
  </si>
  <si>
    <t>Product A sales</t>
  </si>
  <si>
    <t xml:space="preserve">2. Use HLOOKUP to find the sales for Product D in May. </t>
  </si>
  <si>
    <t>Product D sales</t>
  </si>
  <si>
    <t xml:space="preserve">3. Use HLOOKUP to find the sales for Product C in February. </t>
  </si>
  <si>
    <t>Product C sales</t>
  </si>
  <si>
    <t xml:space="preserve">4. Use HLOOKUP to find the sales for each month for a product, then calculate the total sales for that product. </t>
  </si>
  <si>
    <t>Total sale</t>
  </si>
  <si>
    <t xml:space="preserve">5. Use HLOOKUP to find the maximum sales value for Product B across all 
months. </t>
  </si>
  <si>
    <t>Max</t>
  </si>
  <si>
    <t>Maximum Sale 
Month</t>
  </si>
  <si>
    <t>Maximum
 Sale</t>
  </si>
  <si>
    <t>Product</t>
  </si>
  <si>
    <t>No.</t>
  </si>
  <si>
    <t xml:space="preserve">6. Use HLOOKUP to find the minimum sales value for Product F across all months. </t>
  </si>
  <si>
    <t>Product
No.</t>
  </si>
  <si>
    <t>Minimum Sale 
Month</t>
  </si>
  <si>
    <t>Minimum
 Sale</t>
  </si>
  <si>
    <t xml:space="preserve">7. Use HLOOKUP to find the average sales value for Product E across all months. </t>
  </si>
  <si>
    <t xml:space="preserve">Product </t>
  </si>
  <si>
    <t>Average</t>
  </si>
  <si>
    <t>Product No.</t>
  </si>
  <si>
    <t>Average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</si>
</sst>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F9ADD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DC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3" fillId="3" borderId="2" xfId="0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0" fillId="5" borderId="0" xfId="0" applyFill="1"/>
    <xf numFmtId="0" fontId="3" fillId="0" borderId="0" xfId="0" applyFont="1" applyAlignment="1">
      <alignment horizontal="left" vertical="top"/>
    </xf>
    <xf numFmtId="0" fontId="1" fillId="0" borderId="0" xfId="0" applyFont="1"/>
    <xf numFmtId="0" fontId="3" fillId="3" borderId="4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0" fillId="7" borderId="1" xfId="0" applyFill="1" applyBorder="1"/>
    <xf numFmtId="0" fontId="2" fillId="7" borderId="5" xfId="0" applyFont="1" applyFill="1" applyBorder="1" applyAlignment="1">
      <alignment horizontal="left" vertical="top" wrapText="1"/>
    </xf>
    <xf numFmtId="0" fontId="3" fillId="7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 vertical="top" wrapText="1"/>
    </xf>
    <xf numFmtId="0" fontId="2" fillId="7" borderId="1" xfId="0" applyFont="1" applyFill="1" applyBorder="1" applyAlignment="1">
      <alignment horizontal="right" vertical="center"/>
    </xf>
    <xf numFmtId="0" fontId="2" fillId="7" borderId="6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/>
    <xf numFmtId="0" fontId="2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DCD"/>
      <color rgb="FF8F9A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45BC-AEC9-45C9-A83E-85D8F603DD10}">
  <dimension ref="A3:S107"/>
  <sheetViews>
    <sheetView tabSelected="1" topLeftCell="A41" workbookViewId="0">
      <selection activeCell="J86" sqref="J86"/>
    </sheetView>
  </sheetViews>
  <sheetFormatPr defaultRowHeight="14.5" x14ac:dyDescent="0.35"/>
  <cols>
    <col min="1" max="1" width="12.54296875" customWidth="1"/>
    <col min="2" max="2" width="13.453125" customWidth="1"/>
    <col min="3" max="3" width="11.81640625" customWidth="1"/>
    <col min="4" max="4" width="11.7265625" customWidth="1"/>
    <col min="5" max="5" width="13.08984375" customWidth="1"/>
    <col min="6" max="6" width="11.08984375" customWidth="1"/>
    <col min="7" max="7" width="12.7265625" customWidth="1"/>
    <col min="8" max="8" width="11.6328125" customWidth="1"/>
    <col min="10" max="10" width="16.26953125" bestFit="1" customWidth="1"/>
    <col min="11" max="11" width="17.90625" bestFit="1" customWidth="1"/>
    <col min="12" max="12" width="10.1796875" customWidth="1"/>
    <col min="16" max="16" width="11.81640625" customWidth="1"/>
  </cols>
  <sheetData>
    <row r="3" spans="2:16" ht="18.5" x14ac:dyDescent="0.35">
      <c r="B3" s="5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J3" s="32" t="s">
        <v>11</v>
      </c>
      <c r="K3" s="32"/>
      <c r="L3" s="32"/>
      <c r="M3" s="32"/>
      <c r="N3" s="32"/>
      <c r="O3" s="32"/>
      <c r="P3" s="32"/>
    </row>
    <row r="4" spans="2:16" ht="18.5" x14ac:dyDescent="0.35">
      <c r="B4" s="3" t="s">
        <v>5</v>
      </c>
      <c r="C4" s="2">
        <v>120</v>
      </c>
      <c r="D4" s="2">
        <v>130</v>
      </c>
      <c r="E4" s="2">
        <v>140</v>
      </c>
      <c r="F4" s="2">
        <v>150</v>
      </c>
      <c r="G4" s="2">
        <v>160</v>
      </c>
      <c r="J4" s="7" t="s">
        <v>12</v>
      </c>
      <c r="K4" s="8" t="s">
        <v>13</v>
      </c>
    </row>
    <row r="5" spans="2:16" ht="18.5" x14ac:dyDescent="0.35">
      <c r="B5" s="3" t="s">
        <v>6</v>
      </c>
      <c r="C5" s="2">
        <v>150</v>
      </c>
      <c r="D5" s="2">
        <v>160</v>
      </c>
      <c r="E5" s="2">
        <v>170</v>
      </c>
      <c r="F5" s="2">
        <v>180</v>
      </c>
      <c r="G5" s="2">
        <v>190</v>
      </c>
      <c r="J5" s="6" t="s">
        <v>3</v>
      </c>
      <c r="K5" s="6">
        <f>HLOOKUP(J5,B3:G9,2,0)</f>
        <v>150</v>
      </c>
    </row>
    <row r="6" spans="2:16" ht="18.5" x14ac:dyDescent="0.35">
      <c r="B6" s="3" t="s">
        <v>7</v>
      </c>
      <c r="C6" s="2">
        <v>200</v>
      </c>
      <c r="D6" s="2">
        <v>210</v>
      </c>
      <c r="E6" s="2">
        <v>220</v>
      </c>
      <c r="F6" s="2">
        <v>230</v>
      </c>
      <c r="G6" s="2">
        <v>240</v>
      </c>
    </row>
    <row r="7" spans="2:16" ht="18.5" x14ac:dyDescent="0.35">
      <c r="B7" s="3" t="s">
        <v>8</v>
      </c>
      <c r="C7" s="2">
        <v>90</v>
      </c>
      <c r="D7" s="2">
        <v>100</v>
      </c>
      <c r="E7" s="2">
        <v>110</v>
      </c>
      <c r="F7" s="2">
        <v>120</v>
      </c>
      <c r="G7" s="2">
        <v>130</v>
      </c>
    </row>
    <row r="8" spans="2:16" ht="18.5" x14ac:dyDescent="0.35">
      <c r="B8" s="3" t="s">
        <v>9</v>
      </c>
      <c r="C8" s="2">
        <v>220</v>
      </c>
      <c r="D8" s="2">
        <v>230</v>
      </c>
      <c r="E8" s="2">
        <v>240</v>
      </c>
      <c r="F8" s="2">
        <v>250</v>
      </c>
      <c r="G8" s="2">
        <v>260</v>
      </c>
    </row>
    <row r="9" spans="2:16" ht="18.5" x14ac:dyDescent="0.35">
      <c r="B9" s="3" t="s">
        <v>10</v>
      </c>
      <c r="C9" s="2">
        <v>130</v>
      </c>
      <c r="D9" s="2">
        <v>140</v>
      </c>
      <c r="E9" s="2">
        <v>150</v>
      </c>
      <c r="F9" s="2">
        <v>160</v>
      </c>
      <c r="G9" s="2">
        <v>170</v>
      </c>
    </row>
    <row r="10" spans="2:16" ht="15.5" x14ac:dyDescent="0.35">
      <c r="J10" s="33" t="s">
        <v>14</v>
      </c>
      <c r="K10" s="32"/>
      <c r="L10" s="32"/>
      <c r="M10" s="32"/>
      <c r="N10" s="32"/>
      <c r="O10" s="32"/>
      <c r="P10" s="32"/>
    </row>
    <row r="11" spans="2:16" x14ac:dyDescent="0.35">
      <c r="J11" s="7" t="s">
        <v>12</v>
      </c>
      <c r="K11" s="8" t="s">
        <v>15</v>
      </c>
    </row>
    <row r="12" spans="2:16" x14ac:dyDescent="0.35">
      <c r="J12" s="6" t="s">
        <v>3</v>
      </c>
      <c r="K12" s="1">
        <f>HLOOKUP(J12,$B$3:$G$9,5,0)</f>
        <v>120</v>
      </c>
    </row>
    <row r="17" spans="1:16" ht="15.5" x14ac:dyDescent="0.35">
      <c r="J17" s="33" t="s">
        <v>16</v>
      </c>
      <c r="K17" s="32"/>
      <c r="L17" s="32"/>
      <c r="M17" s="32"/>
      <c r="N17" s="32"/>
      <c r="O17" s="32"/>
      <c r="P17" s="32"/>
    </row>
    <row r="18" spans="1:16" x14ac:dyDescent="0.35">
      <c r="J18" s="7" t="s">
        <v>12</v>
      </c>
      <c r="K18" s="8" t="s">
        <v>17</v>
      </c>
    </row>
    <row r="19" spans="1:16" x14ac:dyDescent="0.35">
      <c r="J19" s="6" t="s">
        <v>3</v>
      </c>
      <c r="K19" s="1">
        <f>HLOOKUP(J19,B3:G9,4,0)</f>
        <v>230</v>
      </c>
    </row>
    <row r="24" spans="1:16" ht="34" customHeight="1" x14ac:dyDescent="0.35">
      <c r="A24" s="5"/>
      <c r="B24" s="3" t="s">
        <v>5</v>
      </c>
      <c r="C24" s="3" t="s">
        <v>6</v>
      </c>
      <c r="D24" s="3" t="s">
        <v>7</v>
      </c>
      <c r="E24" s="3" t="s">
        <v>8</v>
      </c>
      <c r="F24" s="3" t="s">
        <v>9</v>
      </c>
      <c r="G24" s="3" t="s">
        <v>10</v>
      </c>
      <c r="J24" s="31" t="s">
        <v>18</v>
      </c>
      <c r="K24" s="34"/>
      <c r="L24" s="34"/>
      <c r="M24" s="34"/>
      <c r="N24" s="34"/>
      <c r="O24" s="34"/>
      <c r="P24" s="34"/>
    </row>
    <row r="25" spans="1:16" ht="18.5" x14ac:dyDescent="0.35">
      <c r="A25" s="4" t="s">
        <v>0</v>
      </c>
      <c r="B25" s="2">
        <v>120</v>
      </c>
      <c r="C25" s="2">
        <v>150</v>
      </c>
      <c r="D25" s="2">
        <v>200</v>
      </c>
      <c r="E25" s="2">
        <v>90</v>
      </c>
      <c r="F25" s="2">
        <v>220</v>
      </c>
      <c r="G25" s="2">
        <v>130</v>
      </c>
      <c r="J25" s="12"/>
      <c r="K25" s="4" t="s">
        <v>0</v>
      </c>
      <c r="L25" s="4" t="s">
        <v>1</v>
      </c>
      <c r="M25" s="4" t="s">
        <v>2</v>
      </c>
      <c r="N25" s="4" t="s">
        <v>3</v>
      </c>
      <c r="O25" s="4" t="s">
        <v>4</v>
      </c>
      <c r="P25" s="10" t="s">
        <v>19</v>
      </c>
    </row>
    <row r="26" spans="1:16" ht="18.5" x14ac:dyDescent="0.35">
      <c r="A26" s="4" t="s">
        <v>1</v>
      </c>
      <c r="B26" s="2">
        <v>130</v>
      </c>
      <c r="C26" s="2">
        <v>160</v>
      </c>
      <c r="D26" s="2">
        <v>210</v>
      </c>
      <c r="E26" s="2">
        <v>100</v>
      </c>
      <c r="F26" s="2">
        <v>230</v>
      </c>
      <c r="G26" s="2">
        <v>140</v>
      </c>
      <c r="J26" s="9" t="s">
        <v>6</v>
      </c>
      <c r="K26" s="1">
        <f>HLOOKUP(J26,$A$24:$G$29,2,0)</f>
        <v>150</v>
      </c>
      <c r="L26" s="1">
        <f>HLOOKUP(J26,$A$24:$G$29,3,0)</f>
        <v>160</v>
      </c>
      <c r="M26" s="1">
        <f>HLOOKUP(J26,$A$24:$G$29,4,0)</f>
        <v>170</v>
      </c>
      <c r="N26" s="1">
        <f>HLOOKUP(J26,$A$24:$G$29,5,0)</f>
        <v>180</v>
      </c>
      <c r="O26" s="1">
        <f>HLOOKUP(J26,A24:G29,6,0)</f>
        <v>190</v>
      </c>
      <c r="P26" s="1">
        <f>SUM(K26:O26)</f>
        <v>850</v>
      </c>
    </row>
    <row r="27" spans="1:16" ht="18.5" x14ac:dyDescent="0.35">
      <c r="A27" s="4" t="s">
        <v>2</v>
      </c>
      <c r="B27" s="2">
        <v>140</v>
      </c>
      <c r="C27" s="2">
        <v>170</v>
      </c>
      <c r="D27" s="2">
        <v>220</v>
      </c>
      <c r="E27" s="2">
        <v>110</v>
      </c>
      <c r="F27" s="2">
        <v>240</v>
      </c>
      <c r="G27" s="2">
        <v>150</v>
      </c>
    </row>
    <row r="28" spans="1:16" ht="18.5" x14ac:dyDescent="0.35">
      <c r="A28" s="4" t="s">
        <v>3</v>
      </c>
      <c r="B28" s="2">
        <v>150</v>
      </c>
      <c r="C28" s="2">
        <v>180</v>
      </c>
      <c r="D28" s="2">
        <v>230</v>
      </c>
      <c r="E28" s="2">
        <v>120</v>
      </c>
      <c r="F28" s="2">
        <v>250</v>
      </c>
      <c r="G28" s="2">
        <v>160</v>
      </c>
    </row>
    <row r="29" spans="1:16" ht="18.5" x14ac:dyDescent="0.35">
      <c r="A29" s="4" t="s">
        <v>4</v>
      </c>
      <c r="B29" s="2">
        <v>160</v>
      </c>
      <c r="C29" s="2">
        <v>190</v>
      </c>
      <c r="D29" s="2">
        <v>240</v>
      </c>
      <c r="E29" s="2">
        <v>130</v>
      </c>
      <c r="F29" s="2">
        <v>260</v>
      </c>
      <c r="G29" s="2">
        <v>170</v>
      </c>
    </row>
    <row r="36" spans="1:16" ht="34" customHeight="1" x14ac:dyDescent="0.35">
      <c r="I36" s="11"/>
      <c r="J36" s="31" t="s">
        <v>20</v>
      </c>
      <c r="K36" s="32"/>
      <c r="L36" s="32"/>
      <c r="M36" s="32"/>
      <c r="N36" s="32"/>
      <c r="O36" s="32"/>
      <c r="P36" s="32"/>
    </row>
    <row r="37" spans="1:16" ht="18.5" x14ac:dyDescent="0.35">
      <c r="J37" s="22" t="s">
        <v>31</v>
      </c>
      <c r="K37" s="4" t="s">
        <v>0</v>
      </c>
      <c r="L37" s="4" t="s">
        <v>1</v>
      </c>
      <c r="M37" s="4" t="s">
        <v>2</v>
      </c>
      <c r="N37" s="4" t="s">
        <v>3</v>
      </c>
      <c r="O37" s="4" t="s">
        <v>4</v>
      </c>
      <c r="P37" s="10" t="s">
        <v>21</v>
      </c>
    </row>
    <row r="38" spans="1:16" ht="24" customHeight="1" x14ac:dyDescent="0.35">
      <c r="J38" s="9" t="s">
        <v>6</v>
      </c>
      <c r="K38" s="6">
        <f>HLOOKUP(J38,$A$24:$G$29,2,0)</f>
        <v>150</v>
      </c>
      <c r="L38" s="6">
        <f>HLOOKUP(J38,A24:$G$29,3,0)</f>
        <v>160</v>
      </c>
      <c r="M38" s="6">
        <f>HLOOKUP(J38,A24:$G$29,3,0)</f>
        <v>160</v>
      </c>
      <c r="N38" s="6">
        <f>HLOOKUP(J38,$A$24:$G$29,5,0)</f>
        <v>180</v>
      </c>
      <c r="O38" s="6">
        <f>HLOOKUP(J38,$A$24:$G$29,6,0)</f>
        <v>190</v>
      </c>
      <c r="P38" s="23">
        <f>MAX(K38:O38)</f>
        <v>190</v>
      </c>
    </row>
    <row r="45" spans="1:16" ht="36.5" customHeight="1" x14ac:dyDescent="0.35">
      <c r="A45" s="5"/>
      <c r="B45" s="4" t="s">
        <v>0</v>
      </c>
      <c r="C45" s="4" t="s">
        <v>1</v>
      </c>
      <c r="D45" s="4" t="s">
        <v>2</v>
      </c>
      <c r="E45" s="4" t="s">
        <v>3</v>
      </c>
      <c r="F45" s="4" t="s">
        <v>4</v>
      </c>
      <c r="H45" s="15" t="s">
        <v>24</v>
      </c>
      <c r="I45" s="15" t="s">
        <v>25</v>
      </c>
      <c r="J45" s="31" t="s">
        <v>20</v>
      </c>
      <c r="K45" s="32"/>
      <c r="L45" s="32"/>
      <c r="M45" s="32"/>
      <c r="N45" s="32"/>
      <c r="O45" s="32"/>
      <c r="P45" s="32"/>
    </row>
    <row r="46" spans="1:16" ht="34.5" customHeight="1" x14ac:dyDescent="0.35">
      <c r="A46" s="3" t="s">
        <v>5</v>
      </c>
      <c r="B46" s="2">
        <v>120</v>
      </c>
      <c r="C46" s="2">
        <v>130</v>
      </c>
      <c r="D46" s="2">
        <v>140</v>
      </c>
      <c r="E46" s="2">
        <v>150</v>
      </c>
      <c r="F46" s="2">
        <v>160</v>
      </c>
      <c r="H46" s="3" t="s">
        <v>5</v>
      </c>
      <c r="I46" s="16">
        <v>2</v>
      </c>
      <c r="J46" s="20" t="s">
        <v>27</v>
      </c>
      <c r="K46" s="17" t="s">
        <v>22</v>
      </c>
      <c r="L46" s="18" t="s">
        <v>23</v>
      </c>
      <c r="M46" s="13"/>
      <c r="N46" s="13"/>
      <c r="O46" s="13"/>
    </row>
    <row r="47" spans="1:16" ht="18.5" x14ac:dyDescent="0.35">
      <c r="A47" s="3" t="s">
        <v>6</v>
      </c>
      <c r="B47" s="2">
        <v>150</v>
      </c>
      <c r="C47" s="2">
        <v>160</v>
      </c>
      <c r="D47" s="2">
        <v>170</v>
      </c>
      <c r="E47" s="2">
        <v>180</v>
      </c>
      <c r="F47" s="2">
        <v>190</v>
      </c>
      <c r="H47" s="3" t="s">
        <v>6</v>
      </c>
      <c r="I47" s="16">
        <v>3</v>
      </c>
      <c r="J47" s="21">
        <v>2</v>
      </c>
      <c r="K47" s="19"/>
      <c r="L47" s="19">
        <f>MAX(HLOOKUP($B$45,$A$45:$F$51,J47,0),HLOOKUP($C$45,$A$45:$F$51,J47,0),HLOOKUP($D$45,$A$45:$F$51,J47,0),HLOOKUP($E$45,$A$45:$F$51,J47,0),HLOOKUP($F$45,A45:F51,J47,0))</f>
        <v>160</v>
      </c>
    </row>
    <row r="48" spans="1:16" ht="18.5" x14ac:dyDescent="0.35">
      <c r="A48" s="3" t="s">
        <v>7</v>
      </c>
      <c r="B48" s="2">
        <v>200</v>
      </c>
      <c r="C48" s="2">
        <v>210</v>
      </c>
      <c r="D48" s="2">
        <v>220</v>
      </c>
      <c r="E48" s="2">
        <v>230</v>
      </c>
      <c r="F48" s="2">
        <v>240</v>
      </c>
      <c r="H48" s="3" t="s">
        <v>7</v>
      </c>
      <c r="I48" s="16">
        <v>4</v>
      </c>
    </row>
    <row r="49" spans="1:16" ht="18.5" x14ac:dyDescent="0.35">
      <c r="A49" s="3" t="s">
        <v>8</v>
      </c>
      <c r="B49" s="2">
        <v>90</v>
      </c>
      <c r="C49" s="2">
        <v>100</v>
      </c>
      <c r="D49" s="2">
        <v>110</v>
      </c>
      <c r="E49" s="2">
        <v>120</v>
      </c>
      <c r="F49" s="2">
        <v>130</v>
      </c>
      <c r="H49" s="3" t="s">
        <v>8</v>
      </c>
      <c r="I49" s="16">
        <v>5</v>
      </c>
      <c r="O49" s="14"/>
    </row>
    <row r="50" spans="1:16" ht="18.5" x14ac:dyDescent="0.35">
      <c r="A50" s="3" t="s">
        <v>9</v>
      </c>
      <c r="B50" s="2">
        <v>220</v>
      </c>
      <c r="C50" s="2">
        <v>230</v>
      </c>
      <c r="D50" s="2">
        <v>240</v>
      </c>
      <c r="E50" s="2">
        <v>250</v>
      </c>
      <c r="F50" s="2">
        <v>260</v>
      </c>
      <c r="H50" s="3" t="s">
        <v>9</v>
      </c>
      <c r="I50" s="16">
        <v>6</v>
      </c>
    </row>
    <row r="51" spans="1:16" ht="18.5" x14ac:dyDescent="0.35">
      <c r="A51" s="3" t="s">
        <v>10</v>
      </c>
      <c r="B51" s="2">
        <v>130</v>
      </c>
      <c r="C51" s="2">
        <v>140</v>
      </c>
      <c r="D51" s="2">
        <v>150</v>
      </c>
      <c r="E51" s="2">
        <v>160</v>
      </c>
      <c r="F51" s="2">
        <v>170</v>
      </c>
      <c r="H51" s="3" t="s">
        <v>10</v>
      </c>
      <c r="I51" s="16">
        <v>7</v>
      </c>
    </row>
    <row r="58" spans="1:16" ht="18.5" x14ac:dyDescent="0.35">
      <c r="H58" s="15" t="s">
        <v>24</v>
      </c>
      <c r="I58" s="15" t="s">
        <v>25</v>
      </c>
      <c r="J58" s="33" t="s">
        <v>26</v>
      </c>
      <c r="K58" s="34"/>
      <c r="L58" s="34"/>
      <c r="M58" s="34"/>
      <c r="N58" s="34"/>
      <c r="O58" s="34"/>
      <c r="P58" s="34"/>
    </row>
    <row r="59" spans="1:16" ht="31" x14ac:dyDescent="0.35">
      <c r="H59" s="16" t="s">
        <v>5</v>
      </c>
      <c r="I59" s="16">
        <v>2</v>
      </c>
      <c r="J59" s="20" t="s">
        <v>27</v>
      </c>
      <c r="K59" s="17" t="s">
        <v>28</v>
      </c>
      <c r="L59" s="18" t="s">
        <v>29</v>
      </c>
    </row>
    <row r="60" spans="1:16" ht="18.5" x14ac:dyDescent="0.35">
      <c r="H60" s="3" t="s">
        <v>6</v>
      </c>
      <c r="I60" s="16">
        <v>3</v>
      </c>
      <c r="J60" s="21">
        <v>7</v>
      </c>
      <c r="K60" s="19"/>
      <c r="L60" s="19">
        <f>MIN(HLOOKUP($B$45,$A$45:$F$51,J60,0),HLOOKUP($C$45,$A$45:$F$51,J60,0),HLOOKUP($D$45,A45:$F$51,J60,0),HLOOKUP($E$45,$A$45:$F$51,J60,0),HLOOKUP($F$45,$A$45:$F$51,J60,0))</f>
        <v>130</v>
      </c>
    </row>
    <row r="61" spans="1:16" ht="18.5" x14ac:dyDescent="0.35">
      <c r="H61" s="3" t="s">
        <v>7</v>
      </c>
      <c r="I61" s="16">
        <v>4</v>
      </c>
    </row>
    <row r="62" spans="1:16" ht="18.5" x14ac:dyDescent="0.35">
      <c r="H62" s="3" t="s">
        <v>8</v>
      </c>
      <c r="I62" s="16">
        <v>5</v>
      </c>
    </row>
    <row r="63" spans="1:16" ht="18.5" x14ac:dyDescent="0.35">
      <c r="H63" s="3" t="s">
        <v>9</v>
      </c>
      <c r="I63" s="16">
        <v>6</v>
      </c>
    </row>
    <row r="64" spans="1:16" ht="18.5" x14ac:dyDescent="0.35">
      <c r="H64" s="3" t="s">
        <v>10</v>
      </c>
      <c r="I64" s="16">
        <v>7</v>
      </c>
    </row>
    <row r="71" spans="10:16" ht="15.5" x14ac:dyDescent="0.35">
      <c r="J71" s="33" t="s">
        <v>30</v>
      </c>
      <c r="K71" s="33"/>
      <c r="L71" s="33"/>
      <c r="M71" s="33"/>
      <c r="N71" s="33"/>
      <c r="O71" s="33"/>
      <c r="P71" s="33"/>
    </row>
    <row r="72" spans="10:16" ht="18.5" x14ac:dyDescent="0.35">
      <c r="J72" s="22" t="s">
        <v>31</v>
      </c>
      <c r="K72" s="4" t="s">
        <v>0</v>
      </c>
      <c r="L72" s="4" t="s">
        <v>1</v>
      </c>
      <c r="M72" s="4" t="s">
        <v>2</v>
      </c>
      <c r="N72" s="4" t="s">
        <v>3</v>
      </c>
      <c r="O72" s="4" t="s">
        <v>4</v>
      </c>
      <c r="P72" s="4" t="s">
        <v>32</v>
      </c>
    </row>
    <row r="73" spans="10:16" ht="28" customHeight="1" x14ac:dyDescent="0.35">
      <c r="J73" s="7" t="s">
        <v>6</v>
      </c>
      <c r="K73" s="6">
        <f>HLOOKUP(J73,$A$24:$G$29,2,0)</f>
        <v>150</v>
      </c>
      <c r="L73" s="6">
        <f>HLOOKUP(J73,$A$24:$G$29,3,0)</f>
        <v>160</v>
      </c>
      <c r="M73" s="6">
        <f>HLOOKUP(J73,$A$24:$G$29,4,0)</f>
        <v>170</v>
      </c>
      <c r="N73" s="6">
        <f>HLOOKUP(J73,$A$24:$G$29,5,0)</f>
        <v>180</v>
      </c>
      <c r="O73" s="6">
        <f>HLOOKUP(J73,$A$24:$G$29,6,0)</f>
        <v>190</v>
      </c>
      <c r="P73" s="24">
        <f>AVERAGE(K73:O73)</f>
        <v>170</v>
      </c>
    </row>
    <row r="84" spans="1:19" ht="18.5" x14ac:dyDescent="0.35">
      <c r="A84" s="5"/>
      <c r="B84" s="4" t="s">
        <v>0</v>
      </c>
      <c r="C84" s="4" t="s">
        <v>1</v>
      </c>
      <c r="D84" s="4" t="s">
        <v>2</v>
      </c>
      <c r="E84" s="4" t="s">
        <v>3</v>
      </c>
      <c r="F84" s="4" t="s">
        <v>4</v>
      </c>
      <c r="H84" s="36"/>
      <c r="I84" s="36"/>
      <c r="J84" s="35" t="s">
        <v>30</v>
      </c>
      <c r="K84" s="33"/>
      <c r="L84" s="33"/>
      <c r="M84" s="33"/>
      <c r="N84" s="33"/>
      <c r="O84" s="33"/>
      <c r="P84" s="33"/>
    </row>
    <row r="85" spans="1:19" ht="18.5" x14ac:dyDescent="0.35">
      <c r="A85" s="3" t="s">
        <v>5</v>
      </c>
      <c r="B85" s="2">
        <v>120</v>
      </c>
      <c r="C85" s="2">
        <v>130</v>
      </c>
      <c r="D85" s="2">
        <v>140</v>
      </c>
      <c r="E85" s="2">
        <v>150</v>
      </c>
      <c r="F85" s="2">
        <v>160</v>
      </c>
      <c r="H85" s="37"/>
      <c r="I85" s="37"/>
      <c r="J85" s="27" t="s">
        <v>33</v>
      </c>
      <c r="K85" s="17" t="s">
        <v>34</v>
      </c>
      <c r="L85" s="25"/>
    </row>
    <row r="86" spans="1:19" ht="18.5" x14ac:dyDescent="0.35">
      <c r="A86" s="3" t="s">
        <v>6</v>
      </c>
      <c r="B86" s="2">
        <v>150</v>
      </c>
      <c r="C86" s="2">
        <v>160</v>
      </c>
      <c r="D86" s="2">
        <v>170</v>
      </c>
      <c r="E86" s="2">
        <v>180</v>
      </c>
      <c r="F86" s="2">
        <v>190</v>
      </c>
      <c r="H86" s="36"/>
      <c r="I86" s="37"/>
      <c r="J86" s="21" t="s">
        <v>7</v>
      </c>
      <c r="K86" s="26">
        <f>AVERAGE(HLOOKUP($B$84,$A$84:$F$90,MATCH($J$86,$A$84:$A$90,0),0),HLOOKUP($C$84,$A$84:$F$90,MATCH($J$86,$A$84:$A$90,0),0),HLOOKUP($D$84,$A$84:$F$90,MATCH($J$86,$A$84:$A$90,0),0),HLOOKUP($E$84,$A$84:$F$90,MATCH($J$86,$A$84:$A$90,0),0),HLOOKUP($F$84,$A$84:$F$90,MATCH($J$86,$A$84:$A$90,0),0))</f>
        <v>220</v>
      </c>
    </row>
    <row r="87" spans="1:19" ht="18.5" x14ac:dyDescent="0.35">
      <c r="A87" s="3" t="s">
        <v>7</v>
      </c>
      <c r="B87" s="2">
        <v>200</v>
      </c>
      <c r="C87" s="2">
        <v>210</v>
      </c>
      <c r="D87" s="2">
        <v>220</v>
      </c>
      <c r="E87" s="2">
        <v>230</v>
      </c>
      <c r="F87" s="2">
        <v>240</v>
      </c>
      <c r="H87" s="36"/>
      <c r="I87" s="37"/>
    </row>
    <row r="88" spans="1:19" ht="18.5" x14ac:dyDescent="0.35">
      <c r="A88" s="3" t="s">
        <v>8</v>
      </c>
      <c r="B88" s="2">
        <v>90</v>
      </c>
      <c r="C88" s="2">
        <v>100</v>
      </c>
      <c r="D88" s="2">
        <v>110</v>
      </c>
      <c r="E88" s="2">
        <v>120</v>
      </c>
      <c r="F88" s="2">
        <v>130</v>
      </c>
      <c r="H88" s="36"/>
      <c r="I88" s="37"/>
    </row>
    <row r="89" spans="1:19" ht="18.5" x14ac:dyDescent="0.35">
      <c r="A89" s="3" t="s">
        <v>9</v>
      </c>
      <c r="B89" s="2">
        <v>220</v>
      </c>
      <c r="C89" s="2">
        <v>230</v>
      </c>
      <c r="D89" s="2">
        <v>240</v>
      </c>
      <c r="E89" s="2">
        <v>250</v>
      </c>
      <c r="F89" s="2">
        <v>260</v>
      </c>
      <c r="H89" s="36"/>
      <c r="I89" s="37"/>
      <c r="S89" t="e">
        <f>AVERAGE(HLOOKUP($B$84,$A$84:$F$90,J86,0),HLOOKUP($C$84,$A$84:$F$90,J86,0),HLOOKUP($D$84,$A$84:$F$90,J86,0),HLOOKUP($E$84,$A$84:$F$90,J86,0),HLOOKUP($F$84,$A$84:$F$90,J86,0))</f>
        <v>#REF!</v>
      </c>
    </row>
    <row r="90" spans="1:19" ht="18.5" x14ac:dyDescent="0.35">
      <c r="A90" s="3" t="s">
        <v>10</v>
      </c>
      <c r="B90" s="2">
        <v>130</v>
      </c>
      <c r="C90" s="2">
        <v>140</v>
      </c>
      <c r="D90" s="2">
        <v>150</v>
      </c>
      <c r="E90" s="2">
        <v>160</v>
      </c>
      <c r="F90" s="2">
        <v>170</v>
      </c>
      <c r="H90" s="36"/>
      <c r="I90" s="37"/>
    </row>
    <row r="101" spans="1:11" ht="18.5" x14ac:dyDescent="0.35">
      <c r="A101" s="5"/>
      <c r="B101" s="4" t="s">
        <v>0</v>
      </c>
      <c r="C101" s="4" t="s">
        <v>1</v>
      </c>
      <c r="D101" s="4" t="s">
        <v>2</v>
      </c>
      <c r="E101" s="4" t="s">
        <v>3</v>
      </c>
      <c r="F101" s="4" t="s">
        <v>4</v>
      </c>
    </row>
    <row r="102" spans="1:11" ht="18.5" x14ac:dyDescent="0.35">
      <c r="A102" s="3" t="s">
        <v>5</v>
      </c>
      <c r="B102" s="2">
        <v>120</v>
      </c>
      <c r="C102" s="2">
        <v>130</v>
      </c>
      <c r="D102" s="2">
        <v>140</v>
      </c>
      <c r="E102" s="2">
        <v>150</v>
      </c>
      <c r="F102" s="2">
        <v>160</v>
      </c>
      <c r="G102" s="13"/>
      <c r="J102" s="29"/>
      <c r="K102" s="29"/>
    </row>
    <row r="103" spans="1:11" ht="18.5" x14ac:dyDescent="0.35">
      <c r="A103" s="3" t="s">
        <v>6</v>
      </c>
      <c r="B103" s="2">
        <v>150</v>
      </c>
      <c r="C103" s="2">
        <v>160</v>
      </c>
      <c r="D103" s="2">
        <v>170</v>
      </c>
      <c r="E103" s="2">
        <v>180</v>
      </c>
      <c r="F103" s="2">
        <v>190</v>
      </c>
      <c r="G103" s="28"/>
      <c r="J103" s="30"/>
    </row>
    <row r="104" spans="1:11" ht="18.5" x14ac:dyDescent="0.35">
      <c r="A104" s="3" t="s">
        <v>7</v>
      </c>
      <c r="B104" s="2">
        <v>200</v>
      </c>
      <c r="C104" s="2">
        <v>210</v>
      </c>
      <c r="D104" s="2">
        <v>220</v>
      </c>
      <c r="E104" s="2">
        <v>230</v>
      </c>
      <c r="F104" s="2">
        <v>240</v>
      </c>
      <c r="G104" s="28"/>
    </row>
    <row r="105" spans="1:11" ht="18.5" x14ac:dyDescent="0.35">
      <c r="A105" s="3" t="s">
        <v>8</v>
      </c>
      <c r="B105" s="2">
        <v>90</v>
      </c>
      <c r="C105" s="2">
        <v>100</v>
      </c>
      <c r="D105" s="2">
        <v>110</v>
      </c>
      <c r="E105" s="2">
        <v>120</v>
      </c>
      <c r="F105" s="2">
        <v>130</v>
      </c>
      <c r="G105" s="28"/>
    </row>
    <row r="106" spans="1:11" ht="18.5" x14ac:dyDescent="0.35">
      <c r="A106" s="3" t="s">
        <v>9</v>
      </c>
      <c r="B106" s="2">
        <v>220</v>
      </c>
      <c r="C106" s="2">
        <v>230</v>
      </c>
      <c r="D106" s="2">
        <v>240</v>
      </c>
      <c r="E106" s="2">
        <v>250</v>
      </c>
      <c r="F106" s="2">
        <v>260</v>
      </c>
      <c r="G106" s="28"/>
    </row>
    <row r="107" spans="1:11" ht="18.5" x14ac:dyDescent="0.35">
      <c r="A107" s="3" t="s">
        <v>10</v>
      </c>
      <c r="B107" s="2">
        <v>130</v>
      </c>
      <c r="C107" s="2">
        <v>140</v>
      </c>
      <c r="D107" s="2">
        <v>150</v>
      </c>
      <c r="E107" s="2">
        <v>160</v>
      </c>
      <c r="F107" s="2">
        <v>170</v>
      </c>
      <c r="G107" s="28"/>
    </row>
  </sheetData>
  <mergeCells count="9">
    <mergeCell ref="J45:P45"/>
    <mergeCell ref="J58:P58"/>
    <mergeCell ref="J71:P71"/>
    <mergeCell ref="J84:P84"/>
    <mergeCell ref="J3:P3"/>
    <mergeCell ref="J10:P10"/>
    <mergeCell ref="J17:P17"/>
    <mergeCell ref="J24:P24"/>
    <mergeCell ref="J36:P36"/>
  </mergeCells>
  <dataValidations count="5">
    <dataValidation type="list" allowBlank="1" showInputMessage="1" showErrorMessage="1" sqref="J5 J12 J19" xr:uid="{FB625462-0251-48EE-8483-C99DF73448AF}">
      <formula1>"Jan,Feb,Mar,Apr,May"</formula1>
    </dataValidation>
    <dataValidation type="list" allowBlank="1" showInputMessage="1" showErrorMessage="1" sqref="J47 J60" xr:uid="{FBD6B23B-1826-43A1-B325-F702549A6596}">
      <formula1>"2,3,4,5,6,7"</formula1>
    </dataValidation>
    <dataValidation type="list" allowBlank="1" showInputMessage="1" showErrorMessage="1" sqref="J26 J38 J73" xr:uid="{4F91B1FF-F00C-4C02-958B-5BFB24C7340C}">
      <formula1>"Product A,Product B,Product C,Product D,Product E,Product F"</formula1>
    </dataValidation>
    <dataValidation type="list" allowBlank="1" showInputMessage="1" showErrorMessage="1" sqref="J103" xr:uid="{6F8EACEE-A17A-4784-9752-D9F767B64D86}">
      <formula1>$A$102:$A$107</formula1>
    </dataValidation>
    <dataValidation type="list" allowBlank="1" showInputMessage="1" showErrorMessage="1" sqref="J86" xr:uid="{EA0F4FC4-51E6-4C49-9D6A-113F26170701}">
      <formula1>$A$85:$A$90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Tahir Hasan Mondal</dc:creator>
  <cp:lastModifiedBy>Md. Tahir Hasan Mondal</cp:lastModifiedBy>
  <dcterms:created xsi:type="dcterms:W3CDTF">2026-05-24T04:13:52Z</dcterms:created>
  <dcterms:modified xsi:type="dcterms:W3CDTF">2026-05-31T15:51:26Z</dcterms:modified>
</cp:coreProperties>
</file>