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119c1016ca04611/Desktop/Anudip Lab/"/>
    </mc:Choice>
  </mc:AlternateContent>
  <xr:revisionPtr revIDLastSave="155" documentId="8_{E0C4B2FA-02D0-4E56-85E0-AA5A89BAB669}" xr6:coauthVersionLast="47" xr6:coauthVersionMax="47" xr10:uidLastSave="{7DF6CD04-ABFB-41B0-A5F2-8EEBC2550FC4}"/>
  <bookViews>
    <workbookView xWindow="-110" yWindow="-110" windowWidth="19420" windowHeight="11500" activeTab="2" xr2:uid="{AF6D34D2-D6C0-4B15-A637-9223B50F7CFA}"/>
  </bookViews>
  <sheets>
    <sheet name="Products" sheetId="1" r:id="rId1"/>
    <sheet name="Orders" sheetId="2" r:id="rId2"/>
    <sheet name="Monthly Sal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3" l="1"/>
  <c r="J31" i="2"/>
  <c r="J32" i="2"/>
  <c r="J33" i="2"/>
  <c r="J34" i="2"/>
  <c r="J35" i="2"/>
  <c r="J36" i="2"/>
  <c r="J30" i="2"/>
  <c r="K16" i="2"/>
  <c r="K17" i="2"/>
  <c r="K18" i="2"/>
  <c r="K19" i="2"/>
  <c r="K20" i="2"/>
  <c r="K21" i="2"/>
  <c r="K15" i="2"/>
  <c r="J16" i="2"/>
  <c r="J17" i="2"/>
  <c r="J18" i="2"/>
  <c r="J19" i="2"/>
  <c r="J20" i="2"/>
  <c r="J21" i="2"/>
  <c r="J15" i="2"/>
</calcChain>
</file>

<file path=xl/sharedStrings.xml><?xml version="1.0" encoding="utf-8"?>
<sst xmlns="http://schemas.openxmlformats.org/spreadsheetml/2006/main" count="49" uniqueCount="28">
  <si>
    <t>ProductID</t>
  </si>
  <si>
    <t>Product</t>
  </si>
  <si>
    <t>Category</t>
  </si>
  <si>
    <t>Price</t>
  </si>
  <si>
    <t>Product C</t>
  </si>
  <si>
    <t>Product D</t>
  </si>
  <si>
    <t>Product E</t>
  </si>
  <si>
    <t>Product F</t>
  </si>
  <si>
    <t>Product A</t>
  </si>
  <si>
    <t>Product B</t>
  </si>
  <si>
    <t>Electronics</t>
  </si>
  <si>
    <t>Furniture</t>
  </si>
  <si>
    <t>Clothing</t>
  </si>
  <si>
    <t xml:space="preserve">OrderID </t>
  </si>
  <si>
    <t>Quantity</t>
  </si>
  <si>
    <t>UnitPrice</t>
  </si>
  <si>
    <t>TotalPrice</t>
  </si>
  <si>
    <t xml:space="preserve">1. Use VLOOKUP to dynamically find the unit price for each ProductID in the Orders worksheet and calculate the total price. </t>
  </si>
  <si>
    <t xml:space="preserve">2. Use nested VLOOKUP to find the category of each product in the Orders 
worksheet. </t>
  </si>
  <si>
    <t>Advanced HLOOKUP Exercises</t>
  </si>
  <si>
    <t xml:space="preserve">Worksheet: MonthlySales </t>
  </si>
  <si>
    <t>Jan</t>
  </si>
  <si>
    <t>Feb</t>
  </si>
  <si>
    <t>Mar</t>
  </si>
  <si>
    <t>Apr</t>
  </si>
  <si>
    <t>May</t>
  </si>
  <si>
    <t xml:space="preserve">1. Use HLOOKUP to dynamically find the sales for Product B in a 
specified month. </t>
  </si>
  <si>
    <t>Product/Month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</si>
</sst>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0" xfId="0" applyAlignment="1">
      <alignment vertical="top"/>
    </xf>
    <xf numFmtId="0" fontId="1" fillId="0" borderId="0" xfId="0" applyFont="1" applyAlignment="1">
      <alignment vertical="top" wrapText="1"/>
    </xf>
    <xf numFmtId="0" fontId="4" fillId="4" borderId="1" xfId="0" applyFont="1" applyFill="1" applyBorder="1" applyAlignment="1">
      <alignment horizontal="left" vertical="top"/>
    </xf>
    <xf numFmtId="0" fontId="5" fillId="5" borderId="1" xfId="0" applyFont="1" applyFill="1" applyBorder="1" applyAlignment="1">
      <alignment horizontal="center" vertical="top"/>
    </xf>
    <xf numFmtId="0" fontId="0" fillId="0" borderId="1" xfId="0" applyBorder="1" applyAlignment="1">
      <alignment horizontal="left" vertical="top" wrapText="1"/>
    </xf>
    <xf numFmtId="0" fontId="3" fillId="6" borderId="1" xfId="0" applyFont="1" applyFill="1" applyBorder="1" applyAlignment="1">
      <alignment horizontal="left" vertical="top" wrapText="1"/>
    </xf>
    <xf numFmtId="0" fontId="3" fillId="7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/>
    <xf numFmtId="0" fontId="1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  <xf numFmtId="0" fontId="3" fillId="2" borderId="1" xfId="0" applyFont="1" applyFill="1" applyBorder="1" applyAlignment="1">
      <alignment horizontal="left" vertical="top"/>
    </xf>
    <xf numFmtId="0" fontId="3" fillId="2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BC0DE-DACC-4E26-894D-58DA06028161}">
  <dimension ref="A1:D7"/>
  <sheetViews>
    <sheetView workbookViewId="0">
      <selection activeCell="F8" sqref="F8"/>
    </sheetView>
  </sheetViews>
  <sheetFormatPr defaultRowHeight="14.5" x14ac:dyDescent="0.35"/>
  <cols>
    <col min="1" max="1" width="12.7265625" customWidth="1"/>
    <col min="2" max="2" width="11.90625" customWidth="1"/>
    <col min="3" max="3" width="11.54296875" customWidth="1"/>
    <col min="4" max="4" width="9.81640625" customWidth="1"/>
  </cols>
  <sheetData>
    <row r="1" spans="1:4" ht="18.5" x14ac:dyDescent="0.35">
      <c r="A1" s="7" t="s">
        <v>0</v>
      </c>
      <c r="B1" s="7" t="s">
        <v>1</v>
      </c>
      <c r="C1" s="7" t="s">
        <v>2</v>
      </c>
      <c r="D1" s="7" t="s">
        <v>3</v>
      </c>
    </row>
    <row r="2" spans="1:4" x14ac:dyDescent="0.35">
      <c r="A2" s="2">
        <v>101</v>
      </c>
      <c r="B2" s="1" t="s">
        <v>8</v>
      </c>
      <c r="C2" s="1" t="s">
        <v>10</v>
      </c>
      <c r="D2" s="1">
        <v>120</v>
      </c>
    </row>
    <row r="3" spans="1:4" x14ac:dyDescent="0.35">
      <c r="A3" s="2">
        <v>102</v>
      </c>
      <c r="B3" s="1" t="s">
        <v>9</v>
      </c>
      <c r="C3" s="1" t="s">
        <v>11</v>
      </c>
      <c r="D3" s="1">
        <v>150</v>
      </c>
    </row>
    <row r="4" spans="1:4" x14ac:dyDescent="0.35">
      <c r="A4" s="2">
        <v>103</v>
      </c>
      <c r="B4" s="1" t="s">
        <v>4</v>
      </c>
      <c r="C4" s="1" t="s">
        <v>10</v>
      </c>
      <c r="D4" s="1">
        <v>200</v>
      </c>
    </row>
    <row r="5" spans="1:4" x14ac:dyDescent="0.35">
      <c r="A5" s="2">
        <v>104</v>
      </c>
      <c r="B5" s="1" t="s">
        <v>5</v>
      </c>
      <c r="C5" s="1" t="s">
        <v>12</v>
      </c>
      <c r="D5" s="1">
        <v>90</v>
      </c>
    </row>
    <row r="6" spans="1:4" x14ac:dyDescent="0.35">
      <c r="A6" s="2">
        <v>105</v>
      </c>
      <c r="B6" s="1" t="s">
        <v>6</v>
      </c>
      <c r="C6" s="1" t="s">
        <v>11</v>
      </c>
      <c r="D6" s="1">
        <v>220</v>
      </c>
    </row>
    <row r="7" spans="1:4" x14ac:dyDescent="0.35">
      <c r="A7" s="2">
        <v>106</v>
      </c>
      <c r="B7" s="1" t="s">
        <v>7</v>
      </c>
      <c r="C7" s="1" t="s">
        <v>10</v>
      </c>
      <c r="D7" s="1">
        <v>130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2E8FE-5385-4AD8-B4D3-8D835F7B1C98}">
  <dimension ref="A1:O43"/>
  <sheetViews>
    <sheetView topLeftCell="A15" workbookViewId="0">
      <selection activeCell="K15" sqref="K15"/>
    </sheetView>
  </sheetViews>
  <sheetFormatPr defaultRowHeight="14.5" x14ac:dyDescent="0.35"/>
  <cols>
    <col min="1" max="1" width="8.54296875" bestFit="1" customWidth="1"/>
    <col min="2" max="2" width="15" customWidth="1"/>
    <col min="3" max="3" width="12.26953125" customWidth="1"/>
    <col min="4" max="4" width="12.7265625" customWidth="1"/>
    <col min="5" max="5" width="17.90625" customWidth="1"/>
    <col min="7" max="7" width="11.6328125" customWidth="1"/>
    <col min="8" max="8" width="11.1796875" customWidth="1"/>
    <col min="9" max="9" width="13.6328125" customWidth="1"/>
    <col min="10" max="10" width="15.36328125" customWidth="1"/>
    <col min="11" max="11" width="12.1796875" customWidth="1"/>
  </cols>
  <sheetData>
    <row r="1" spans="1:15" ht="15.5" customHeight="1" x14ac:dyDescent="0.35">
      <c r="A1" s="6" t="s">
        <v>13</v>
      </c>
      <c r="B1" s="6" t="s">
        <v>0</v>
      </c>
      <c r="C1" s="6" t="s">
        <v>14</v>
      </c>
      <c r="D1" s="6" t="s">
        <v>15</v>
      </c>
      <c r="E1" s="6" t="s">
        <v>16</v>
      </c>
      <c r="G1" s="5"/>
      <c r="H1" s="4"/>
      <c r="I1" s="4"/>
      <c r="J1" s="4"/>
      <c r="K1" s="4"/>
      <c r="L1" s="4"/>
      <c r="M1" s="4"/>
      <c r="N1" s="4"/>
    </row>
    <row r="2" spans="1:15" x14ac:dyDescent="0.35">
      <c r="A2" s="3">
        <v>1</v>
      </c>
      <c r="B2" s="3">
        <v>101</v>
      </c>
      <c r="C2" s="3">
        <v>2</v>
      </c>
      <c r="D2" s="3"/>
      <c r="E2" s="3"/>
      <c r="G2" s="4"/>
      <c r="H2" s="4"/>
      <c r="I2" s="4"/>
      <c r="J2" s="4"/>
      <c r="K2" s="4"/>
      <c r="L2" s="4"/>
      <c r="M2" s="4"/>
      <c r="N2" s="4"/>
    </row>
    <row r="3" spans="1:15" x14ac:dyDescent="0.35">
      <c r="A3" s="3">
        <v>2</v>
      </c>
      <c r="B3" s="3">
        <v>103</v>
      </c>
      <c r="C3" s="3">
        <v>1</v>
      </c>
      <c r="D3" s="3"/>
      <c r="E3" s="3"/>
      <c r="G3" s="4"/>
      <c r="H3" s="4"/>
      <c r="I3" s="4"/>
      <c r="J3" s="4"/>
      <c r="K3" s="4"/>
      <c r="L3" s="4"/>
      <c r="M3" s="4"/>
      <c r="N3" s="4"/>
    </row>
    <row r="4" spans="1:15" x14ac:dyDescent="0.35">
      <c r="A4" s="3">
        <v>3</v>
      </c>
      <c r="B4" s="3">
        <v>105</v>
      </c>
      <c r="C4" s="3">
        <v>4</v>
      </c>
      <c r="D4" s="3"/>
      <c r="E4" s="3"/>
    </row>
    <row r="5" spans="1:15" x14ac:dyDescent="0.35">
      <c r="A5" s="3">
        <v>4</v>
      </c>
      <c r="B5" s="3">
        <v>106</v>
      </c>
      <c r="C5" s="3">
        <v>3</v>
      </c>
      <c r="D5" s="3"/>
      <c r="E5" s="3"/>
    </row>
    <row r="6" spans="1:15" x14ac:dyDescent="0.35">
      <c r="A6" s="3">
        <v>5</v>
      </c>
      <c r="B6" s="3">
        <v>102</v>
      </c>
      <c r="C6" s="3">
        <v>5</v>
      </c>
      <c r="D6" s="3"/>
      <c r="E6" s="3"/>
    </row>
    <row r="7" spans="1:15" x14ac:dyDescent="0.35">
      <c r="A7" s="3">
        <v>6</v>
      </c>
      <c r="B7" s="3">
        <v>104</v>
      </c>
      <c r="C7" s="3">
        <v>6</v>
      </c>
      <c r="D7" s="3"/>
      <c r="E7" s="3"/>
    </row>
    <row r="8" spans="1:15" x14ac:dyDescent="0.35">
      <c r="A8" s="3">
        <v>7</v>
      </c>
      <c r="B8" s="3">
        <v>107</v>
      </c>
      <c r="C8" s="3">
        <v>8</v>
      </c>
      <c r="D8" s="1"/>
      <c r="E8" s="1"/>
    </row>
    <row r="11" spans="1:15" ht="14.5" customHeight="1" x14ac:dyDescent="0.35">
      <c r="G11" s="15" t="s">
        <v>17</v>
      </c>
      <c r="H11" s="16"/>
      <c r="I11" s="16"/>
      <c r="J11" s="16"/>
      <c r="K11" s="16"/>
      <c r="L11" s="16"/>
      <c r="M11" s="16"/>
      <c r="N11" s="4"/>
      <c r="O11" s="4"/>
    </row>
    <row r="12" spans="1:15" x14ac:dyDescent="0.35">
      <c r="G12" s="16"/>
      <c r="H12" s="16"/>
      <c r="I12" s="16"/>
      <c r="J12" s="16"/>
      <c r="K12" s="16"/>
      <c r="L12" s="16"/>
      <c r="M12" s="16"/>
      <c r="N12" s="4"/>
      <c r="O12" s="4"/>
    </row>
    <row r="13" spans="1:15" x14ac:dyDescent="0.35">
      <c r="G13" s="16"/>
      <c r="H13" s="16"/>
      <c r="I13" s="16"/>
      <c r="J13" s="16"/>
      <c r="K13" s="16"/>
      <c r="L13" s="16"/>
      <c r="M13" s="16"/>
      <c r="N13" s="4"/>
      <c r="O13" s="4"/>
    </row>
    <row r="14" spans="1:15" ht="15.5" x14ac:dyDescent="0.35">
      <c r="G14" s="6" t="s">
        <v>13</v>
      </c>
      <c r="H14" s="6" t="s">
        <v>0</v>
      </c>
      <c r="I14" s="6" t="s">
        <v>14</v>
      </c>
      <c r="J14" s="6" t="s">
        <v>15</v>
      </c>
      <c r="K14" s="6" t="s">
        <v>16</v>
      </c>
      <c r="L14" s="4"/>
      <c r="M14" s="4"/>
      <c r="N14" s="4"/>
      <c r="O14" s="4"/>
    </row>
    <row r="15" spans="1:15" x14ac:dyDescent="0.35">
      <c r="G15" s="3">
        <v>1</v>
      </c>
      <c r="H15" s="3">
        <v>101</v>
      </c>
      <c r="I15" s="3">
        <v>2</v>
      </c>
      <c r="J15" s="3">
        <f>_xlfn.IFNA(VLOOKUP($H15,Products!$A$1:$D$7,MATCH("Price",Products!$A$1:$D$1,0),0),"Not Found")</f>
        <v>120</v>
      </c>
      <c r="K15" s="3">
        <f>_xlfn.IFNA(VLOOKUP($H15,Products!$A$1:$D$7,MATCH("Price",Products!$A$1:$D$1,0),0)*VLOOKUP(Orders!$H15,Orders!$H$14:$J$21,MATCH("Quantity",Orders!$H$14:$J$14,0),0),"Not Available")</f>
        <v>240</v>
      </c>
      <c r="L15" s="4"/>
      <c r="M15" s="4"/>
      <c r="N15" s="4"/>
      <c r="O15" s="4"/>
    </row>
    <row r="16" spans="1:15" x14ac:dyDescent="0.35">
      <c r="G16" s="3">
        <v>2</v>
      </c>
      <c r="H16" s="3">
        <v>103</v>
      </c>
      <c r="I16" s="3">
        <v>1</v>
      </c>
      <c r="J16" s="3">
        <f>_xlfn.IFNA(VLOOKUP($H16,Products!$A$1:$D$7,MATCH("Price",Products!$A$1:$D$1,0),0),"Not Found")</f>
        <v>200</v>
      </c>
      <c r="K16" s="3">
        <f>_xlfn.IFNA(VLOOKUP($H16,Products!$A$1:$D$7,MATCH("Price",Products!$A$1:$D$1,0),0)*VLOOKUP(Orders!$H16,Orders!$H$14:$J$21,MATCH("Quantity",Orders!$H$14:$J$14,0),0),"Not Available")</f>
        <v>200</v>
      </c>
    </row>
    <row r="17" spans="7:13" x14ac:dyDescent="0.35">
      <c r="G17" s="3">
        <v>3</v>
      </c>
      <c r="H17" s="3">
        <v>105</v>
      </c>
      <c r="I17" s="3">
        <v>4</v>
      </c>
      <c r="J17" s="3">
        <f>_xlfn.IFNA(VLOOKUP($H17,Products!$A$1:$D$7,MATCH("Price",Products!$A$1:$D$1,0),0),"Not Found")</f>
        <v>220</v>
      </c>
      <c r="K17" s="3">
        <f>_xlfn.IFNA(VLOOKUP($H17,Products!$A$1:$D$7,MATCH("Price",Products!$A$1:$D$1,0),0)*VLOOKUP(Orders!$H17,Orders!$H$14:$J$21,MATCH("Quantity",Orders!$H$14:$J$14,0),0),"Not Available")</f>
        <v>880</v>
      </c>
    </row>
    <row r="18" spans="7:13" x14ac:dyDescent="0.35">
      <c r="G18" s="3">
        <v>4</v>
      </c>
      <c r="H18" s="3">
        <v>106</v>
      </c>
      <c r="I18" s="3">
        <v>3</v>
      </c>
      <c r="J18" s="3">
        <f>_xlfn.IFNA(VLOOKUP($H18,Products!$A$1:$D$7,MATCH("Price",Products!$A$1:$D$1,0),0),"Not Found")</f>
        <v>130</v>
      </c>
      <c r="K18" s="3">
        <f>_xlfn.IFNA(VLOOKUP($H18,Products!$A$1:$D$7,MATCH("Price",Products!$A$1:$D$1,0),0)*VLOOKUP(Orders!$H18,Orders!$H$14:$J$21,MATCH("Quantity",Orders!$H$14:$J$14,0),0),"Not Available")</f>
        <v>390</v>
      </c>
    </row>
    <row r="19" spans="7:13" x14ac:dyDescent="0.35">
      <c r="G19" s="3">
        <v>5</v>
      </c>
      <c r="H19" s="3">
        <v>102</v>
      </c>
      <c r="I19" s="3">
        <v>5</v>
      </c>
      <c r="J19" s="3">
        <f>_xlfn.IFNA(VLOOKUP($H19,Products!$A$1:$D$7,MATCH("Price",Products!$A$1:$D$1,0),0),"Not Found")</f>
        <v>150</v>
      </c>
      <c r="K19" s="3">
        <f>_xlfn.IFNA(VLOOKUP($H19,Products!$A$1:$D$7,MATCH("Price",Products!$A$1:$D$1,0),0)*VLOOKUP(Orders!$H19,Orders!$H$14:$J$21,MATCH("Quantity",Orders!$H$14:$J$14,0),0),"Not Available")</f>
        <v>750</v>
      </c>
    </row>
    <row r="20" spans="7:13" x14ac:dyDescent="0.35">
      <c r="G20" s="3">
        <v>6</v>
      </c>
      <c r="H20" s="3">
        <v>104</v>
      </c>
      <c r="I20" s="3">
        <v>6</v>
      </c>
      <c r="J20" s="3">
        <f>_xlfn.IFNA(VLOOKUP($H20,Products!$A$1:$D$7,MATCH("Price",Products!$A$1:$D$1,0),0),"Not Found")</f>
        <v>90</v>
      </c>
      <c r="K20" s="3">
        <f>_xlfn.IFNA(VLOOKUP($H20,Products!$A$1:$D$7,MATCH("Price",Products!$A$1:$D$1,0),0)*VLOOKUP(Orders!$H20,Orders!$H$14:$J$21,MATCH("Quantity",Orders!$H$14:$J$14,0),0),"Not Available")</f>
        <v>540</v>
      </c>
    </row>
    <row r="21" spans="7:13" x14ac:dyDescent="0.35">
      <c r="G21" s="3">
        <v>7</v>
      </c>
      <c r="H21" s="3">
        <v>107</v>
      </c>
      <c r="I21" s="3">
        <v>8</v>
      </c>
      <c r="J21" s="3" t="str">
        <f>_xlfn.IFNA(VLOOKUP($H21,Products!$A$1:$D$7,MATCH("Price",Products!$A$1:$D$1,0),0),"Not Found")</f>
        <v>Not Found</v>
      </c>
      <c r="K21" s="3" t="str">
        <f>_xlfn.IFNA(VLOOKUP($H21,Products!$A$1:$D$7,MATCH("Price",Products!$A$1:$D$1,0),0)*VLOOKUP(Orders!$H21,Orders!$H$14:$J$21,MATCH("Quantity",Orders!$H$14:$J$14,0),0),"Not Available")</f>
        <v>Not Available</v>
      </c>
    </row>
    <row r="26" spans="7:13" x14ac:dyDescent="0.35">
      <c r="G26" s="15" t="s">
        <v>18</v>
      </c>
      <c r="H26" s="17"/>
      <c r="I26" s="17"/>
      <c r="J26" s="17"/>
      <c r="K26" s="17"/>
      <c r="L26" s="17"/>
      <c r="M26" s="17"/>
    </row>
    <row r="27" spans="7:13" x14ac:dyDescent="0.35">
      <c r="G27" s="17"/>
      <c r="H27" s="17"/>
      <c r="I27" s="17"/>
      <c r="J27" s="17"/>
      <c r="K27" s="17"/>
      <c r="L27" s="17"/>
      <c r="M27" s="17"/>
    </row>
    <row r="28" spans="7:13" x14ac:dyDescent="0.35">
      <c r="G28" s="17"/>
      <c r="H28" s="17"/>
      <c r="I28" s="17"/>
      <c r="J28" s="17"/>
      <c r="K28" s="17"/>
      <c r="L28" s="17"/>
      <c r="M28" s="17"/>
    </row>
    <row r="29" spans="7:13" ht="15.5" x14ac:dyDescent="0.35">
      <c r="G29" s="6" t="s">
        <v>13</v>
      </c>
      <c r="H29" s="6" t="s">
        <v>0</v>
      </c>
      <c r="I29" s="6" t="s">
        <v>14</v>
      </c>
      <c r="J29" s="6" t="s">
        <v>2</v>
      </c>
    </row>
    <row r="30" spans="7:13" x14ac:dyDescent="0.35">
      <c r="G30" s="3">
        <v>1</v>
      </c>
      <c r="H30" s="3">
        <v>101</v>
      </c>
      <c r="I30" s="3">
        <v>2</v>
      </c>
      <c r="J30" s="1" t="str">
        <f>_xlfn.IFNA(VLOOKUP(VLOOKUP($H30,Products!$A$1:$D$7,MATCH("Product",Products!$A$1:$D$1,0),0),Products!$B$1:$D$7,MATCH("Category",Products!$B$1:$D$1,0),0),"Not Found")</f>
        <v>Electronics</v>
      </c>
    </row>
    <row r="31" spans="7:13" x14ac:dyDescent="0.35">
      <c r="G31" s="3">
        <v>2</v>
      </c>
      <c r="H31" s="3">
        <v>103</v>
      </c>
      <c r="I31" s="3">
        <v>1</v>
      </c>
      <c r="J31" s="1" t="str">
        <f>_xlfn.IFNA(VLOOKUP(VLOOKUP($H31,Products!$A$1:$D$7,MATCH("Product",Products!$A$1:$D$1,0),0),Products!$B$1:$D$7,MATCH("Category",Products!$B$1:$D$1,0),0),"Not Found")</f>
        <v>Electronics</v>
      </c>
    </row>
    <row r="32" spans="7:13" x14ac:dyDescent="0.35">
      <c r="G32" s="3">
        <v>3</v>
      </c>
      <c r="H32" s="3">
        <v>105</v>
      </c>
      <c r="I32" s="3">
        <v>4</v>
      </c>
      <c r="J32" s="1" t="str">
        <f>_xlfn.IFNA(VLOOKUP(VLOOKUP($H32,Products!$A$1:$D$7,MATCH("Product",Products!$A$1:$D$1,0),0),Products!$B$1:$D$7,MATCH("Category",Products!$B$1:$D$1,0),0),"Not Found")</f>
        <v>Furniture</v>
      </c>
    </row>
    <row r="33" spans="7:13" x14ac:dyDescent="0.35">
      <c r="G33" s="3">
        <v>4</v>
      </c>
      <c r="H33" s="3">
        <v>106</v>
      </c>
      <c r="I33" s="3">
        <v>3</v>
      </c>
      <c r="J33" s="1" t="str">
        <f>_xlfn.IFNA(VLOOKUP(VLOOKUP($H33,Products!$A$1:$D$7,MATCH("Product",Products!$A$1:$D$1,0),0),Products!$B$1:$D$7,MATCH("Category",Products!$B$1:$D$1,0),0),"Not Found")</f>
        <v>Electronics</v>
      </c>
    </row>
    <row r="34" spans="7:13" x14ac:dyDescent="0.35">
      <c r="G34" s="3">
        <v>5</v>
      </c>
      <c r="H34" s="3">
        <v>102</v>
      </c>
      <c r="I34" s="3">
        <v>5</v>
      </c>
      <c r="J34" s="1" t="str">
        <f>_xlfn.IFNA(VLOOKUP(VLOOKUP($H34,Products!$A$1:$D$7,MATCH("Product",Products!$A$1:$D$1,0),0),Products!$B$1:$D$7,MATCH("Category",Products!$B$1:$D$1,0),0),"Not Found")</f>
        <v>Furniture</v>
      </c>
    </row>
    <row r="35" spans="7:13" x14ac:dyDescent="0.35">
      <c r="G35" s="3">
        <v>6</v>
      </c>
      <c r="H35" s="3">
        <v>104</v>
      </c>
      <c r="I35" s="3">
        <v>6</v>
      </c>
      <c r="J35" s="1" t="str">
        <f>_xlfn.IFNA(VLOOKUP(VLOOKUP($H35,Products!$A$1:$D$7,MATCH("Product",Products!$A$1:$D$1,0),0),Products!$B$1:$D$7,MATCH("Category",Products!$B$1:$D$1,0),0),"Not Found")</f>
        <v>Clothing</v>
      </c>
    </row>
    <row r="36" spans="7:13" x14ac:dyDescent="0.35">
      <c r="G36" s="3">
        <v>7</v>
      </c>
      <c r="H36" s="3">
        <v>107</v>
      </c>
      <c r="I36" s="3">
        <v>8</v>
      </c>
      <c r="J36" s="1" t="str">
        <f>_xlfn.IFNA(VLOOKUP(VLOOKUP($H36,Products!$A$1:$D$7,MATCH("Product",Products!$A$1:$D$1,0),0),Products!$B$1:$D$7,MATCH("Category",Products!$B$1:$D$1,0),0),"Not Found")</f>
        <v>Not Found</v>
      </c>
    </row>
    <row r="41" spans="7:13" x14ac:dyDescent="0.35">
      <c r="G41" s="4"/>
      <c r="H41" s="4"/>
      <c r="I41" s="4"/>
      <c r="J41" s="4"/>
      <c r="K41" s="4"/>
      <c r="L41" s="4"/>
      <c r="M41" s="4"/>
    </row>
    <row r="42" spans="7:13" x14ac:dyDescent="0.35">
      <c r="G42" s="4"/>
      <c r="H42" s="4"/>
      <c r="I42" s="4"/>
      <c r="J42" s="4"/>
      <c r="K42" s="4"/>
      <c r="L42" s="4"/>
      <c r="M42" s="4"/>
    </row>
    <row r="43" spans="7:13" x14ac:dyDescent="0.35">
      <c r="G43" s="4"/>
      <c r="H43" s="4"/>
      <c r="I43" s="4"/>
      <c r="J43" s="4"/>
      <c r="K43" s="4"/>
      <c r="L43" s="4"/>
      <c r="M43" s="4"/>
    </row>
  </sheetData>
  <mergeCells count="2">
    <mergeCell ref="G11:M13"/>
    <mergeCell ref="G26:M2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30DD2-1357-4225-9D98-390C78F24CAF}">
  <dimension ref="A1:N11"/>
  <sheetViews>
    <sheetView tabSelected="1" workbookViewId="0">
      <selection activeCell="H14" sqref="H14"/>
    </sheetView>
  </sheetViews>
  <sheetFormatPr defaultRowHeight="14.5" x14ac:dyDescent="0.35"/>
  <cols>
    <col min="1" max="1" width="17.26953125" customWidth="1"/>
    <col min="2" max="2" width="15.54296875" customWidth="1"/>
    <col min="3" max="3" width="7" customWidth="1"/>
    <col min="8" max="8" width="15.6328125" customWidth="1"/>
    <col min="9" max="9" width="12.08984375" customWidth="1"/>
  </cols>
  <sheetData>
    <row r="1" spans="1:14" ht="15.5" x14ac:dyDescent="0.35">
      <c r="A1" s="17" t="s">
        <v>19</v>
      </c>
      <c r="B1" s="17"/>
      <c r="C1" s="17"/>
    </row>
    <row r="3" spans="1:14" x14ac:dyDescent="0.35">
      <c r="A3" s="18" t="s">
        <v>20</v>
      </c>
      <c r="B3" s="18"/>
    </row>
    <row r="5" spans="1:14" x14ac:dyDescent="0.35">
      <c r="A5" s="10"/>
      <c r="B5" s="11" t="s">
        <v>21</v>
      </c>
      <c r="C5" s="11" t="s">
        <v>22</v>
      </c>
      <c r="D5" s="11" t="s">
        <v>23</v>
      </c>
      <c r="E5" s="11" t="s">
        <v>24</v>
      </c>
      <c r="F5" s="11" t="s">
        <v>25</v>
      </c>
      <c r="H5" s="19" t="s">
        <v>26</v>
      </c>
      <c r="I5" s="18"/>
      <c r="J5" s="18"/>
      <c r="K5" s="18"/>
      <c r="L5" s="18"/>
      <c r="M5" s="18"/>
      <c r="N5" s="18"/>
    </row>
    <row r="6" spans="1:14" x14ac:dyDescent="0.35">
      <c r="A6" s="9" t="s">
        <v>8</v>
      </c>
      <c r="B6" s="8">
        <v>120</v>
      </c>
      <c r="C6" s="8">
        <v>130</v>
      </c>
      <c r="D6" s="8">
        <v>140</v>
      </c>
      <c r="E6" s="8">
        <v>150</v>
      </c>
      <c r="F6" s="8">
        <v>160</v>
      </c>
      <c r="H6" s="18"/>
      <c r="I6" s="18"/>
      <c r="J6" s="18"/>
      <c r="K6" s="18"/>
      <c r="L6" s="18"/>
      <c r="M6" s="18"/>
      <c r="N6" s="18"/>
    </row>
    <row r="7" spans="1:14" x14ac:dyDescent="0.35">
      <c r="A7" s="9" t="s">
        <v>9</v>
      </c>
      <c r="B7" s="8">
        <v>150</v>
      </c>
      <c r="C7" s="8">
        <v>160</v>
      </c>
      <c r="D7" s="8">
        <v>170</v>
      </c>
      <c r="E7" s="8">
        <v>180</v>
      </c>
      <c r="F7" s="8">
        <v>190</v>
      </c>
      <c r="H7" s="18"/>
      <c r="I7" s="18"/>
      <c r="J7" s="18"/>
      <c r="K7" s="18"/>
      <c r="L7" s="18"/>
      <c r="M7" s="18"/>
      <c r="N7" s="18"/>
    </row>
    <row r="8" spans="1:14" ht="18.5" x14ac:dyDescent="0.35">
      <c r="A8" s="9" t="s">
        <v>4</v>
      </c>
      <c r="B8" s="8">
        <v>200</v>
      </c>
      <c r="C8" s="8">
        <v>210</v>
      </c>
      <c r="D8" s="8">
        <v>220</v>
      </c>
      <c r="E8" s="8">
        <v>230</v>
      </c>
      <c r="F8" s="8">
        <v>240</v>
      </c>
      <c r="H8" s="1" t="s">
        <v>27</v>
      </c>
      <c r="I8" s="13" t="s">
        <v>21</v>
      </c>
      <c r="J8" s="12"/>
      <c r="K8" s="12"/>
      <c r="L8" s="12"/>
      <c r="M8" s="12"/>
    </row>
    <row r="9" spans="1:14" ht="18.5" x14ac:dyDescent="0.45">
      <c r="A9" s="9" t="s">
        <v>5</v>
      </c>
      <c r="B9" s="8">
        <v>90</v>
      </c>
      <c r="C9" s="8">
        <v>100</v>
      </c>
      <c r="D9" s="8">
        <v>110</v>
      </c>
      <c r="E9" s="8">
        <v>120</v>
      </c>
      <c r="F9" s="8">
        <v>130</v>
      </c>
      <c r="H9" s="14" t="s">
        <v>9</v>
      </c>
      <c r="I9" s="1">
        <f>HLOOKUP($I$8,$A$5:$F$11,MATCH($H$9,$A$5:$A$11,0),0)</f>
        <v>150</v>
      </c>
    </row>
    <row r="10" spans="1:14" x14ac:dyDescent="0.35">
      <c r="A10" s="9" t="s">
        <v>6</v>
      </c>
      <c r="B10" s="8">
        <v>220</v>
      </c>
      <c r="C10" s="8">
        <v>230</v>
      </c>
      <c r="D10" s="8">
        <v>240</v>
      </c>
      <c r="E10" s="8">
        <v>250</v>
      </c>
      <c r="F10" s="8">
        <v>260</v>
      </c>
    </row>
    <row r="11" spans="1:14" x14ac:dyDescent="0.35">
      <c r="A11" s="9" t="s">
        <v>7</v>
      </c>
      <c r="B11" s="8">
        <v>130</v>
      </c>
      <c r="C11" s="8">
        <v>140</v>
      </c>
      <c r="D11" s="8">
        <v>150</v>
      </c>
      <c r="E11" s="8">
        <v>160</v>
      </c>
      <c r="F11" s="8">
        <v>170</v>
      </c>
    </row>
  </sheetData>
  <mergeCells count="3">
    <mergeCell ref="A1:C1"/>
    <mergeCell ref="A3:B3"/>
    <mergeCell ref="H5:N7"/>
  </mergeCells>
  <dataValidations count="2">
    <dataValidation type="list" allowBlank="1" showInputMessage="1" showErrorMessage="1" sqref="H9" xr:uid="{778DFAEA-ECFF-4EB2-8648-DB72FFDC06BC}">
      <formula1>$A$6:$A$11</formula1>
    </dataValidation>
    <dataValidation type="list" allowBlank="1" showInputMessage="1" showErrorMessage="1" sqref="I8" xr:uid="{62088413-0AFD-4D4E-8A59-FB6614BACCF3}">
      <formula1>$B$5:$F$5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Products</vt:lpstr>
      <vt:lpstr>Orders</vt:lpstr>
      <vt:lpstr>Monthly 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Md. Tahir Hasan Mondal</dc:creator>
  <cp:lastModifiedBy>Md. Tahir Hasan Mondal</cp:lastModifiedBy>
  <dcterms:created xsi:type="dcterms:W3CDTF">2026-05-25T04:43:31Z</dcterms:created>
  <dcterms:modified xsi:type="dcterms:W3CDTF">2026-05-26T04:40:36Z</dcterms:modified>
</cp:coreProperties>
</file>