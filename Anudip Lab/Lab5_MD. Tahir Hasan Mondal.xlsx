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19c1016ca04611/Desktop/Anudip Lab/"/>
    </mc:Choice>
  </mc:AlternateContent>
  <xr:revisionPtr revIDLastSave="36" documentId="13_ncr:1_{EF7A6B0E-2923-4A58-8E47-AB57B580D81E}" xr6:coauthVersionLast="47" xr6:coauthVersionMax="47" xr10:uidLastSave="{485EB8B4-47B6-4EAD-AB24-6A5FC00408DD}"/>
  <bookViews>
    <workbookView xWindow="-110" yWindow="-110" windowWidth="19420" windowHeight="11500" activeTab="1" xr2:uid="{0616E5B1-6810-465B-BAF1-FECF241801C7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4" i="2" l="1"/>
  <c r="M64" i="2"/>
  <c r="M65" i="2"/>
  <c r="M66" i="2"/>
  <c r="M67" i="2"/>
  <c r="M68" i="2"/>
  <c r="M69" i="2"/>
  <c r="M70" i="2"/>
  <c r="M63" i="2"/>
  <c r="L70" i="2"/>
  <c r="K70" i="2"/>
  <c r="L64" i="2"/>
  <c r="L65" i="2"/>
  <c r="L66" i="2"/>
  <c r="L67" i="2"/>
  <c r="L68" i="2"/>
  <c r="L69" i="2"/>
  <c r="L63" i="2"/>
  <c r="K64" i="2"/>
  <c r="K65" i="2"/>
  <c r="K66" i="2"/>
  <c r="K67" i="2"/>
  <c r="K68" i="2"/>
  <c r="K69" i="2"/>
  <c r="K63" i="2"/>
  <c r="K16" i="1"/>
  <c r="K17" i="1"/>
  <c r="K18" i="1"/>
  <c r="K19" i="1"/>
  <c r="K20" i="1"/>
  <c r="K21" i="1"/>
  <c r="K22" i="1"/>
  <c r="K15" i="1"/>
  <c r="K53" i="2"/>
  <c r="L53" i="2" s="1"/>
  <c r="K54" i="2"/>
  <c r="L54" i="2" s="1"/>
  <c r="K55" i="2"/>
  <c r="L55" i="2" s="1"/>
  <c r="K56" i="2"/>
  <c r="L56" i="2" s="1"/>
  <c r="K57" i="2"/>
  <c r="L57" i="2" s="1"/>
  <c r="K52" i="2"/>
  <c r="L52" i="2" s="1"/>
  <c r="K41" i="2"/>
  <c r="L41" i="2" s="1"/>
  <c r="K42" i="2"/>
  <c r="L42" i="2" s="1"/>
  <c r="K43" i="2"/>
  <c r="L43" i="2" s="1"/>
  <c r="K44" i="2"/>
  <c r="L44" i="2" s="1"/>
  <c r="K45" i="2"/>
  <c r="L45" i="2" s="1"/>
  <c r="K40" i="2"/>
  <c r="L40" i="2" s="1"/>
  <c r="K29" i="2"/>
  <c r="K30" i="2"/>
  <c r="K31" i="2"/>
  <c r="K32" i="2"/>
  <c r="K33" i="2"/>
  <c r="K34" i="2"/>
  <c r="K28" i="2"/>
  <c r="K18" i="2"/>
  <c r="L18" i="2" s="1"/>
  <c r="K19" i="2"/>
  <c r="L19" i="2" s="1"/>
  <c r="K20" i="2"/>
  <c r="L20" i="2" s="1"/>
  <c r="K21" i="2"/>
  <c r="L21" i="2" s="1"/>
  <c r="K22" i="2"/>
  <c r="L22" i="2" s="1"/>
  <c r="K17" i="2"/>
  <c r="L17" i="2" s="1"/>
  <c r="K7" i="2"/>
  <c r="K8" i="2"/>
  <c r="K9" i="2"/>
  <c r="K10" i="2"/>
  <c r="K11" i="2"/>
  <c r="K6" i="2"/>
  <c r="P57" i="2" l="1"/>
</calcChain>
</file>

<file path=xl/sharedStrings.xml><?xml version="1.0" encoding="utf-8"?>
<sst xmlns="http://schemas.openxmlformats.org/spreadsheetml/2006/main" count="79" uniqueCount="36">
  <si>
    <t>Worksheet-1</t>
  </si>
  <si>
    <t>Products</t>
  </si>
  <si>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</si>
  <si>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</si>
  <si>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</si>
  <si>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</si>
  <si>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</si>
  <si>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</si>
  <si>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</si>
  <si>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</si>
  <si>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</si>
  <si>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Worksheet-2</t>
  </si>
  <si>
    <t>Orders</t>
  </si>
  <si>
    <t>OrderId</t>
  </si>
  <si>
    <t>ProductId</t>
  </si>
  <si>
    <t>Quantity</t>
  </si>
  <si>
    <t>Total Price</t>
  </si>
  <si>
    <t>1. Use VLOOKUP to find the product names for each ProductID in the Orders
worksheet.</t>
  </si>
  <si>
    <t>Product Names</t>
  </si>
  <si>
    <t>3. Use VLOOKUP to check if there are any ProductIDs in the Orders worksheet that do not exist in the Products worksheet.</t>
  </si>
  <si>
    <t>ProductID is available 
Products worksheet</t>
  </si>
  <si>
    <t>4. Assume a discount of 10% is given on all products. Use VLOOKUP to find the original price and then calculate the discounted price.</t>
  </si>
  <si>
    <t>Original Price</t>
  </si>
  <si>
    <t>Discount Price</t>
  </si>
  <si>
    <t>5. Use VLOOKUP to find the price for each ProductID and then calculate the order value. Find the maximum order value from the list.</t>
  </si>
  <si>
    <t>Order Value</t>
  </si>
  <si>
    <t>Maximum Order Value</t>
  </si>
  <si>
    <t>Product G</t>
  </si>
  <si>
    <t>Product H</t>
  </si>
  <si>
    <t>Ordered or Not</t>
  </si>
  <si>
    <t>6. Use VLOOKUP to find out which products from the Products worksheet have not been 
ordered.</t>
  </si>
  <si>
    <t>7. Use VLOOKUP to find the Product name and summarize the total quantity sold for each product.</t>
  </si>
  <si>
    <t>Product Name</t>
  </si>
  <si>
    <t>Total price</t>
  </si>
  <si>
    <t>Total sell</t>
  </si>
  <si>
    <t>2. Use VLOOKUP to find the price for each ProductID in the Orders worksheet, then calculate the TotalPrice by multiplying the Quantity by the Product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</si>
</sst>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left" vertical="top"/>
    </xf>
    <xf numFmtId="0" fontId="2" fillId="2" borderId="0" xfId="0" applyFont="1" applyFill="1"/>
    <xf numFmtId="0" fontId="1" fillId="3" borderId="1" xfId="0" applyFont="1" applyFill="1" applyBorder="1"/>
    <xf numFmtId="0" fontId="1" fillId="4" borderId="2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1" xfId="0" applyFont="1" applyBorder="1"/>
    <xf numFmtId="0" fontId="1" fillId="8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top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/>
    </xf>
    <xf numFmtId="0" fontId="1" fillId="9" borderId="0" xfId="0" applyFont="1" applyFill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CC30-61C2-4FA5-A5CC-E6BD5E508F89}">
  <dimension ref="A1:P22"/>
  <sheetViews>
    <sheetView workbookViewId="0">
      <selection activeCell="C4" sqref="C4:C11"/>
    </sheetView>
  </sheetViews>
  <sheetFormatPr defaultRowHeight="14.5" x14ac:dyDescent="0.35"/>
  <cols>
    <col min="1" max="1" width="14.7265625" bestFit="1" customWidth="1"/>
    <col min="2" max="2" width="10.36328125" bestFit="1" customWidth="1"/>
    <col min="8" max="8" width="9.90625" bestFit="1" customWidth="1"/>
    <col min="9" max="9" width="9" bestFit="1" customWidth="1"/>
    <col min="10" max="10" width="5.36328125" bestFit="1" customWidth="1"/>
    <col min="11" max="11" width="13.7265625" bestFit="1" customWidth="1"/>
  </cols>
  <sheetData>
    <row r="1" spans="1:16" ht="18.5" x14ac:dyDescent="0.45">
      <c r="A1" s="2" t="s">
        <v>0</v>
      </c>
      <c r="B1" s="2" t="s">
        <v>1</v>
      </c>
    </row>
    <row r="3" spans="1:16" ht="15.5" x14ac:dyDescent="0.35">
      <c r="B3" s="14" t="s">
        <v>2</v>
      </c>
      <c r="C3" s="14" t="s">
        <v>3</v>
      </c>
      <c r="D3" s="14" t="s">
        <v>4</v>
      </c>
    </row>
    <row r="4" spans="1:16" x14ac:dyDescent="0.35">
      <c r="B4" s="3">
        <v>101</v>
      </c>
      <c r="C4" s="1" t="s">
        <v>5</v>
      </c>
      <c r="D4" s="1">
        <v>120</v>
      </c>
    </row>
    <row r="5" spans="1:16" x14ac:dyDescent="0.35">
      <c r="B5" s="3">
        <v>102</v>
      </c>
      <c r="C5" s="1" t="s">
        <v>6</v>
      </c>
      <c r="D5" s="1">
        <v>150</v>
      </c>
    </row>
    <row r="6" spans="1:16" x14ac:dyDescent="0.35">
      <c r="B6" s="3">
        <v>103</v>
      </c>
      <c r="C6" s="1" t="s">
        <v>7</v>
      </c>
      <c r="D6" s="1">
        <v>200</v>
      </c>
    </row>
    <row r="7" spans="1:16" x14ac:dyDescent="0.35">
      <c r="B7" s="3">
        <v>104</v>
      </c>
      <c r="C7" s="1" t="s">
        <v>8</v>
      </c>
      <c r="D7" s="1">
        <v>90</v>
      </c>
    </row>
    <row r="8" spans="1:16" x14ac:dyDescent="0.35">
      <c r="B8" s="3">
        <v>105</v>
      </c>
      <c r="C8" s="1" t="s">
        <v>9</v>
      </c>
      <c r="D8" s="1">
        <v>220</v>
      </c>
    </row>
    <row r="9" spans="1:16" x14ac:dyDescent="0.35">
      <c r="B9" s="3">
        <v>106</v>
      </c>
      <c r="C9" s="1" t="s">
        <v>10</v>
      </c>
      <c r="D9" s="1">
        <v>130</v>
      </c>
    </row>
    <row r="10" spans="1:16" x14ac:dyDescent="0.35">
      <c r="B10" s="3">
        <v>107</v>
      </c>
      <c r="C10" s="3" t="s">
        <v>27</v>
      </c>
      <c r="D10" s="13">
        <v>250</v>
      </c>
    </row>
    <row r="11" spans="1:16" x14ac:dyDescent="0.35">
      <c r="B11" s="3">
        <v>108</v>
      </c>
      <c r="C11" s="3" t="s">
        <v>28</v>
      </c>
      <c r="D11" s="13">
        <v>300</v>
      </c>
    </row>
    <row r="13" spans="1:16" ht="35" customHeight="1" x14ac:dyDescent="0.35">
      <c r="H13" s="21" t="s">
        <v>30</v>
      </c>
      <c r="I13" s="22"/>
      <c r="J13" s="22"/>
      <c r="K13" s="22"/>
      <c r="L13" s="22"/>
      <c r="M13" s="22"/>
      <c r="N13" s="22"/>
      <c r="O13" s="22"/>
      <c r="P13" s="22"/>
    </row>
    <row r="14" spans="1:16" ht="15.5" x14ac:dyDescent="0.35">
      <c r="H14" s="17" t="s">
        <v>2</v>
      </c>
      <c r="I14" s="17" t="s">
        <v>3</v>
      </c>
      <c r="J14" s="17" t="s">
        <v>4</v>
      </c>
      <c r="K14" s="15" t="s">
        <v>29</v>
      </c>
    </row>
    <row r="15" spans="1:16" x14ac:dyDescent="0.35">
      <c r="H15" s="3">
        <v>101</v>
      </c>
      <c r="I15" s="1" t="s">
        <v>5</v>
      </c>
      <c r="J15" s="1">
        <v>120</v>
      </c>
      <c r="K15" s="16" t="str">
        <f>IF(ISNA(VLOOKUP(H15,Orders!$C$3:$E$10,1,0)),"Not Ordered","Ordered")</f>
        <v>Ordered</v>
      </c>
    </row>
    <row r="16" spans="1:16" x14ac:dyDescent="0.35">
      <c r="H16" s="3">
        <v>102</v>
      </c>
      <c r="I16" s="1" t="s">
        <v>6</v>
      </c>
      <c r="J16" s="1">
        <v>150</v>
      </c>
      <c r="K16" s="16" t="str">
        <f>IF(ISNA(VLOOKUP(H16,Orders!$C$3:$E$10,1,0)),"Not Ordered","Ordered")</f>
        <v>Ordered</v>
      </c>
    </row>
    <row r="17" spans="8:11" x14ac:dyDescent="0.35">
      <c r="H17" s="3">
        <v>103</v>
      </c>
      <c r="I17" s="1" t="s">
        <v>7</v>
      </c>
      <c r="J17" s="1">
        <v>200</v>
      </c>
      <c r="K17" s="16" t="str">
        <f>IF(ISNA(VLOOKUP(H17,Orders!$C$3:$E$10,1,0)),"Not Ordered","Ordered")</f>
        <v>Ordered</v>
      </c>
    </row>
    <row r="18" spans="8:11" x14ac:dyDescent="0.35">
      <c r="H18" s="3">
        <v>104</v>
      </c>
      <c r="I18" s="1" t="s">
        <v>8</v>
      </c>
      <c r="J18" s="1">
        <v>90</v>
      </c>
      <c r="K18" s="16" t="str">
        <f>IF(ISNA(VLOOKUP(H18,Orders!$C$3:$E$10,1,0)),"Not Ordered","Ordered")</f>
        <v>Ordered</v>
      </c>
    </row>
    <row r="19" spans="8:11" x14ac:dyDescent="0.35">
      <c r="H19" s="3">
        <v>105</v>
      </c>
      <c r="I19" s="1" t="s">
        <v>9</v>
      </c>
      <c r="J19" s="1">
        <v>220</v>
      </c>
      <c r="K19" s="16" t="str">
        <f>IF(ISNA(VLOOKUP(H19,Orders!$C$3:$E$10,1,0)),"Not Ordered","Ordered")</f>
        <v>Ordered</v>
      </c>
    </row>
    <row r="20" spans="8:11" x14ac:dyDescent="0.35">
      <c r="H20" s="3">
        <v>106</v>
      </c>
      <c r="I20" s="1" t="s">
        <v>10</v>
      </c>
      <c r="J20" s="1">
        <v>130</v>
      </c>
      <c r="K20" s="16" t="str">
        <f>IF(ISNA(VLOOKUP(H20,Orders!$C$3:$E$10,1,0)),"Not Ordered","Ordered")</f>
        <v>Ordered</v>
      </c>
    </row>
    <row r="21" spans="8:11" x14ac:dyDescent="0.35">
      <c r="H21" s="3">
        <v>107</v>
      </c>
      <c r="I21" s="3" t="s">
        <v>27</v>
      </c>
      <c r="J21" s="13">
        <v>250</v>
      </c>
      <c r="K21" s="16" t="str">
        <f>IF(ISNA(VLOOKUP(H21,Orders!$C$3:$E$10,1,0)),"Not Ordered","Ordered")</f>
        <v>Ordered</v>
      </c>
    </row>
    <row r="22" spans="8:11" x14ac:dyDescent="0.35">
      <c r="H22" s="3">
        <v>108</v>
      </c>
      <c r="I22" s="3" t="s">
        <v>28</v>
      </c>
      <c r="J22" s="13">
        <v>300</v>
      </c>
      <c r="K22" s="16" t="str">
        <f>IF(ISNA(VLOOKUP(H22,Orders!$C$3:$E$10,1,0)),"Not Ordered","Ordered")</f>
        <v>Not Ordered</v>
      </c>
    </row>
  </sheetData>
  <mergeCells count="1">
    <mergeCell ref="H13:P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E1FC-DCEA-4B88-B9F9-F85EADE9DD7A}">
  <dimension ref="A1:P74"/>
  <sheetViews>
    <sheetView tabSelected="1" topLeftCell="E11" workbookViewId="0">
      <selection activeCell="O24" sqref="O24"/>
    </sheetView>
  </sheetViews>
  <sheetFormatPr defaultRowHeight="14.5" x14ac:dyDescent="0.35"/>
  <cols>
    <col min="1" max="1" width="14.7265625" bestFit="1" customWidth="1"/>
    <col min="2" max="2" width="7.36328125" bestFit="1" customWidth="1"/>
    <col min="3" max="3" width="9.08984375" bestFit="1" customWidth="1"/>
    <col min="4" max="4" width="8.1796875" bestFit="1" customWidth="1"/>
    <col min="5" max="5" width="9.6328125" bestFit="1" customWidth="1"/>
    <col min="8" max="8" width="9.90625" bestFit="1" customWidth="1"/>
    <col min="11" max="11" width="15.26953125" customWidth="1"/>
    <col min="12" max="12" width="11.81640625" bestFit="1" customWidth="1"/>
    <col min="13" max="13" width="12.90625" bestFit="1" customWidth="1"/>
    <col min="15" max="15" width="11.1796875" customWidth="1"/>
  </cols>
  <sheetData>
    <row r="1" spans="1:13" ht="18.5" x14ac:dyDescent="0.45">
      <c r="A1" s="4" t="s">
        <v>11</v>
      </c>
      <c r="B1" s="4" t="s">
        <v>12</v>
      </c>
    </row>
    <row r="3" spans="1:13" ht="30" customHeight="1" x14ac:dyDescent="0.35">
      <c r="B3" s="9" t="s">
        <v>13</v>
      </c>
      <c r="C3" s="9" t="s">
        <v>14</v>
      </c>
      <c r="D3" s="9" t="s">
        <v>15</v>
      </c>
      <c r="E3" s="9" t="s">
        <v>16</v>
      </c>
      <c r="H3" s="23" t="s">
        <v>17</v>
      </c>
      <c r="I3" s="24"/>
      <c r="J3" s="24"/>
      <c r="K3" s="24"/>
      <c r="L3" s="24"/>
      <c r="M3" s="24"/>
    </row>
    <row r="4" spans="1:13" x14ac:dyDescent="0.35">
      <c r="B4" s="3">
        <v>1</v>
      </c>
      <c r="C4" s="3">
        <v>101</v>
      </c>
      <c r="D4" s="3">
        <v>2</v>
      </c>
      <c r="E4" s="3"/>
    </row>
    <row r="5" spans="1:13" x14ac:dyDescent="0.35">
      <c r="B5" s="3">
        <v>2</v>
      </c>
      <c r="C5" s="3">
        <v>103</v>
      </c>
      <c r="D5" s="3">
        <v>1</v>
      </c>
      <c r="E5" s="3"/>
      <c r="H5" s="5" t="s">
        <v>13</v>
      </c>
      <c r="I5" s="5" t="s">
        <v>14</v>
      </c>
      <c r="J5" s="5" t="s">
        <v>15</v>
      </c>
      <c r="K5" s="5" t="s">
        <v>18</v>
      </c>
    </row>
    <row r="6" spans="1:13" x14ac:dyDescent="0.35">
      <c r="B6" s="3">
        <v>3</v>
      </c>
      <c r="C6" s="3">
        <v>105</v>
      </c>
      <c r="D6" s="3">
        <v>4</v>
      </c>
      <c r="E6" s="3"/>
      <c r="H6" s="3">
        <v>1</v>
      </c>
      <c r="I6" s="3">
        <v>101</v>
      </c>
      <c r="J6" s="3">
        <v>2</v>
      </c>
      <c r="K6" s="1" t="str">
        <f>VLOOKUP(I6,Products!$B$3:$D$9,2,0)</f>
        <v>Product A</v>
      </c>
    </row>
    <row r="7" spans="1:13" x14ac:dyDescent="0.35">
      <c r="B7" s="3">
        <v>4</v>
      </c>
      <c r="C7" s="3">
        <v>106</v>
      </c>
      <c r="D7" s="3">
        <v>3</v>
      </c>
      <c r="E7" s="3"/>
      <c r="H7" s="3">
        <v>2</v>
      </c>
      <c r="I7" s="3">
        <v>103</v>
      </c>
      <c r="J7" s="3">
        <v>1</v>
      </c>
      <c r="K7" s="1" t="str">
        <f>VLOOKUP(I7,Products!$B$3:$D$9,2,0)</f>
        <v>Product C</v>
      </c>
    </row>
    <row r="8" spans="1:13" x14ac:dyDescent="0.35">
      <c r="B8" s="3">
        <v>5</v>
      </c>
      <c r="C8" s="3">
        <v>102</v>
      </c>
      <c r="D8" s="3">
        <v>5</v>
      </c>
      <c r="E8" s="3"/>
      <c r="H8" s="3">
        <v>3</v>
      </c>
      <c r="I8" s="3">
        <v>105</v>
      </c>
      <c r="J8" s="3">
        <v>4</v>
      </c>
      <c r="K8" s="1" t="str">
        <f>VLOOKUP(I8,Products!$B$3:$D$9,2,0)</f>
        <v>Product E</v>
      </c>
    </row>
    <row r="9" spans="1:13" x14ac:dyDescent="0.35">
      <c r="B9" s="3">
        <v>6</v>
      </c>
      <c r="C9" s="3">
        <v>104</v>
      </c>
      <c r="D9" s="3">
        <v>6</v>
      </c>
      <c r="E9" s="3"/>
      <c r="H9" s="3">
        <v>4</v>
      </c>
      <c r="I9" s="3">
        <v>106</v>
      </c>
      <c r="J9" s="3">
        <v>3</v>
      </c>
      <c r="K9" s="1" t="str">
        <f>VLOOKUP(I9,Products!$B$3:$D$9,2,0)</f>
        <v>Product F</v>
      </c>
    </row>
    <row r="10" spans="1:13" x14ac:dyDescent="0.35">
      <c r="B10" s="3">
        <v>7</v>
      </c>
      <c r="C10" s="3">
        <v>107</v>
      </c>
      <c r="D10" s="3">
        <v>7</v>
      </c>
      <c r="E10" s="3"/>
      <c r="H10" s="3">
        <v>5</v>
      </c>
      <c r="I10" s="3">
        <v>102</v>
      </c>
      <c r="J10" s="3">
        <v>5</v>
      </c>
      <c r="K10" s="1" t="str">
        <f>VLOOKUP(I10,Products!$B$3:$D$9,2,0)</f>
        <v>Product B</v>
      </c>
    </row>
    <row r="11" spans="1:13" x14ac:dyDescent="0.35">
      <c r="B11" s="10"/>
      <c r="C11" s="10"/>
      <c r="D11" s="10"/>
      <c r="E11" s="10"/>
      <c r="H11" s="3">
        <v>6</v>
      </c>
      <c r="I11" s="3">
        <v>104</v>
      </c>
      <c r="J11" s="3">
        <v>6</v>
      </c>
      <c r="K11" s="1" t="str">
        <f>VLOOKUP(I11,Products!$B$3:$D$9,2,0)</f>
        <v>Product D</v>
      </c>
    </row>
    <row r="15" spans="1:13" ht="29" customHeight="1" x14ac:dyDescent="0.35">
      <c r="H15" s="21" t="s">
        <v>35</v>
      </c>
      <c r="I15" s="22"/>
      <c r="J15" s="22"/>
      <c r="K15" s="22"/>
      <c r="L15" s="22"/>
      <c r="M15" s="22"/>
    </row>
    <row r="16" spans="1:13" x14ac:dyDescent="0.35">
      <c r="H16" s="6" t="s">
        <v>13</v>
      </c>
      <c r="I16" s="6" t="s">
        <v>14</v>
      </c>
      <c r="J16" s="6" t="s">
        <v>15</v>
      </c>
      <c r="K16" s="6" t="s">
        <v>4</v>
      </c>
      <c r="L16" s="6" t="s">
        <v>16</v>
      </c>
    </row>
    <row r="17" spans="8:13" x14ac:dyDescent="0.35">
      <c r="H17" s="3">
        <v>1</v>
      </c>
      <c r="I17" s="3">
        <v>101</v>
      </c>
      <c r="J17" s="3">
        <v>2</v>
      </c>
      <c r="K17" s="1">
        <f>VLOOKUP(I17,Products!$B$3:$D$9,3,0)</f>
        <v>120</v>
      </c>
      <c r="L17" s="1">
        <f>J17*K17</f>
        <v>240</v>
      </c>
    </row>
    <row r="18" spans="8:13" x14ac:dyDescent="0.35">
      <c r="H18" s="3">
        <v>2</v>
      </c>
      <c r="I18" s="3">
        <v>103</v>
      </c>
      <c r="J18" s="3">
        <v>1</v>
      </c>
      <c r="K18" s="1">
        <f>VLOOKUP(I18,Products!$B$3:$D$9,3,0)</f>
        <v>200</v>
      </c>
      <c r="L18" s="1">
        <f t="shared" ref="L18:L22" si="0">J18*K18</f>
        <v>200</v>
      </c>
    </row>
    <row r="19" spans="8:13" x14ac:dyDescent="0.35">
      <c r="H19" s="3">
        <v>3</v>
      </c>
      <c r="I19" s="3">
        <v>105</v>
      </c>
      <c r="J19" s="3">
        <v>4</v>
      </c>
      <c r="K19" s="1">
        <f>VLOOKUP(I19,Products!$B$3:$D$9,3,0)</f>
        <v>220</v>
      </c>
      <c r="L19" s="1">
        <f t="shared" si="0"/>
        <v>880</v>
      </c>
    </row>
    <row r="20" spans="8:13" x14ac:dyDescent="0.35">
      <c r="H20" s="3">
        <v>4</v>
      </c>
      <c r="I20" s="3">
        <v>106</v>
      </c>
      <c r="J20" s="3">
        <v>3</v>
      </c>
      <c r="K20" s="1">
        <f>VLOOKUP(I20,Products!$B$3:$D$9,3,0)</f>
        <v>130</v>
      </c>
      <c r="L20" s="1">
        <f t="shared" si="0"/>
        <v>390</v>
      </c>
    </row>
    <row r="21" spans="8:13" x14ac:dyDescent="0.35">
      <c r="H21" s="3">
        <v>5</v>
      </c>
      <c r="I21" s="3">
        <v>102</v>
      </c>
      <c r="J21" s="3">
        <v>5</v>
      </c>
      <c r="K21" s="1">
        <f>VLOOKUP(I21,Products!$B$3:$D$9,3,0)</f>
        <v>150</v>
      </c>
      <c r="L21" s="1">
        <f t="shared" si="0"/>
        <v>750</v>
      </c>
    </row>
    <row r="22" spans="8:13" x14ac:dyDescent="0.35">
      <c r="H22" s="3">
        <v>6</v>
      </c>
      <c r="I22" s="3">
        <v>104</v>
      </c>
      <c r="J22" s="3">
        <v>6</v>
      </c>
      <c r="K22" s="1">
        <f>VLOOKUP(I22,Products!$B$3:$D$9,3,0)</f>
        <v>90</v>
      </c>
      <c r="L22" s="1">
        <f t="shared" si="0"/>
        <v>540</v>
      </c>
    </row>
    <row r="26" spans="8:13" ht="33" customHeight="1" x14ac:dyDescent="0.35">
      <c r="H26" s="23" t="s">
        <v>19</v>
      </c>
      <c r="I26" s="24"/>
      <c r="J26" s="24"/>
      <c r="K26" s="24"/>
      <c r="L26" s="24"/>
      <c r="M26" s="24"/>
    </row>
    <row r="27" spans="8:13" ht="58" x14ac:dyDescent="0.35">
      <c r="H27" s="7" t="s">
        <v>13</v>
      </c>
      <c r="I27" s="7" t="s">
        <v>14</v>
      </c>
      <c r="J27" s="7" t="s">
        <v>15</v>
      </c>
      <c r="K27" s="8" t="s">
        <v>20</v>
      </c>
    </row>
    <row r="28" spans="8:13" x14ac:dyDescent="0.35">
      <c r="H28" s="3">
        <v>1</v>
      </c>
      <c r="I28" s="3">
        <v>101</v>
      </c>
      <c r="J28" s="3">
        <v>2</v>
      </c>
      <c r="K28" s="1" t="str">
        <f>IF(ISNA(VLOOKUP(I28,Products!$B$3:$D$9,1,0)),"Not Exist", "Exist")</f>
        <v>Exist</v>
      </c>
    </row>
    <row r="29" spans="8:13" x14ac:dyDescent="0.35">
      <c r="H29" s="3">
        <v>2</v>
      </c>
      <c r="I29" s="3">
        <v>103</v>
      </c>
      <c r="J29" s="3">
        <v>1</v>
      </c>
      <c r="K29" s="1" t="str">
        <f>IF(ISNA(VLOOKUP(I29,Products!$B$3:$D$9,1,0)),"Not Exist", "Exist")</f>
        <v>Exist</v>
      </c>
    </row>
    <row r="30" spans="8:13" x14ac:dyDescent="0.35">
      <c r="H30" s="3">
        <v>3</v>
      </c>
      <c r="I30" s="3">
        <v>105</v>
      </c>
      <c r="J30" s="3">
        <v>4</v>
      </c>
      <c r="K30" s="1" t="str">
        <f>IF(ISNA(VLOOKUP(I30,Products!$B$3:$D$9,1,0)),"Not Exist", "Exist")</f>
        <v>Exist</v>
      </c>
    </row>
    <row r="31" spans="8:13" x14ac:dyDescent="0.35">
      <c r="H31" s="3">
        <v>4</v>
      </c>
      <c r="I31" s="3">
        <v>106</v>
      </c>
      <c r="J31" s="3">
        <v>3</v>
      </c>
      <c r="K31" s="1" t="str">
        <f>IF(ISNA(VLOOKUP(I31,Products!$B$3:$D$9,1,0)),"Not Exist", "Exist")</f>
        <v>Exist</v>
      </c>
    </row>
    <row r="32" spans="8:13" x14ac:dyDescent="0.35">
      <c r="H32" s="3">
        <v>5</v>
      </c>
      <c r="I32" s="3">
        <v>102</v>
      </c>
      <c r="J32" s="3">
        <v>5</v>
      </c>
      <c r="K32" s="1" t="str">
        <f>IF(ISNA(VLOOKUP(I32,Products!$B$3:$D$9,1,0)),"Not Exist", "Exist")</f>
        <v>Exist</v>
      </c>
    </row>
    <row r="33" spans="8:13" x14ac:dyDescent="0.35">
      <c r="H33" s="3">
        <v>6</v>
      </c>
      <c r="I33" s="3">
        <v>104</v>
      </c>
      <c r="J33" s="3">
        <v>6</v>
      </c>
      <c r="K33" s="1" t="str">
        <f>IF(ISNA(VLOOKUP(I33,Products!$B$3:$D$9,1,0)),"Not Exist", "Exist")</f>
        <v>Exist</v>
      </c>
    </row>
    <row r="34" spans="8:13" x14ac:dyDescent="0.35">
      <c r="H34" s="3">
        <v>7</v>
      </c>
      <c r="I34" s="3">
        <v>107</v>
      </c>
      <c r="J34" s="3">
        <v>7</v>
      </c>
      <c r="K34" s="1" t="str">
        <f>IF(ISNA(VLOOKUP(I34,Products!$B$3:$D$9,1,0)),"Not Exist", "Exist")</f>
        <v>Not Exist</v>
      </c>
    </row>
    <row r="38" spans="8:13" ht="43.5" customHeight="1" x14ac:dyDescent="0.35">
      <c r="H38" s="21" t="s">
        <v>21</v>
      </c>
      <c r="I38" s="22"/>
      <c r="J38" s="22"/>
      <c r="K38" s="22"/>
      <c r="L38" s="22"/>
      <c r="M38" s="22"/>
    </row>
    <row r="39" spans="8:13" x14ac:dyDescent="0.35">
      <c r="H39" s="12" t="s">
        <v>13</v>
      </c>
      <c r="I39" s="12" t="s">
        <v>14</v>
      </c>
      <c r="J39" s="12" t="s">
        <v>15</v>
      </c>
      <c r="K39" s="12" t="s">
        <v>23</v>
      </c>
      <c r="L39" s="12" t="s">
        <v>22</v>
      </c>
    </row>
    <row r="40" spans="8:13" x14ac:dyDescent="0.35">
      <c r="H40" s="3">
        <v>1</v>
      </c>
      <c r="I40" s="3">
        <v>101</v>
      </c>
      <c r="J40" s="3">
        <v>2</v>
      </c>
      <c r="K40" s="3">
        <f>VLOOKUP(I40,Products!$B$3:$D$9,3,0)</f>
        <v>120</v>
      </c>
      <c r="L40" s="3">
        <f>K40+(K40*10%)</f>
        <v>132</v>
      </c>
    </row>
    <row r="41" spans="8:13" x14ac:dyDescent="0.35">
      <c r="H41" s="3">
        <v>2</v>
      </c>
      <c r="I41" s="3">
        <v>103</v>
      </c>
      <c r="J41" s="3">
        <v>1</v>
      </c>
      <c r="K41" s="3">
        <f>VLOOKUP(I41,Products!$B$3:$D$9,3,0)</f>
        <v>200</v>
      </c>
      <c r="L41" s="3">
        <f t="shared" ref="L41:L45" si="1">K41+(K41*10%)</f>
        <v>220</v>
      </c>
    </row>
    <row r="42" spans="8:13" x14ac:dyDescent="0.35">
      <c r="H42" s="3">
        <v>3</v>
      </c>
      <c r="I42" s="3">
        <v>105</v>
      </c>
      <c r="J42" s="3">
        <v>4</v>
      </c>
      <c r="K42" s="3">
        <f>VLOOKUP(I42,Products!$B$3:$D$9,3,0)</f>
        <v>220</v>
      </c>
      <c r="L42" s="3">
        <f t="shared" si="1"/>
        <v>242</v>
      </c>
    </row>
    <row r="43" spans="8:13" x14ac:dyDescent="0.35">
      <c r="H43" s="3">
        <v>4</v>
      </c>
      <c r="I43" s="3">
        <v>106</v>
      </c>
      <c r="J43" s="3">
        <v>3</v>
      </c>
      <c r="K43" s="3">
        <f>VLOOKUP(I43,Products!$B$3:$D$9,3,0)</f>
        <v>130</v>
      </c>
      <c r="L43" s="3">
        <f t="shared" si="1"/>
        <v>143</v>
      </c>
    </row>
    <row r="44" spans="8:13" x14ac:dyDescent="0.35">
      <c r="H44" s="3">
        <v>5</v>
      </c>
      <c r="I44" s="3">
        <v>102</v>
      </c>
      <c r="J44" s="3">
        <v>5</v>
      </c>
      <c r="K44" s="3">
        <f>VLOOKUP(I44,Products!$B$3:$D$9,3,0)</f>
        <v>150</v>
      </c>
      <c r="L44" s="3">
        <f t="shared" si="1"/>
        <v>165</v>
      </c>
    </row>
    <row r="45" spans="8:13" x14ac:dyDescent="0.35">
      <c r="H45" s="3">
        <v>6</v>
      </c>
      <c r="I45" s="3">
        <v>104</v>
      </c>
      <c r="J45" s="3">
        <v>6</v>
      </c>
      <c r="K45" s="3">
        <f>VLOOKUP(I45,Products!$B$3:$D$9,3,0)</f>
        <v>90</v>
      </c>
      <c r="L45" s="3">
        <f t="shared" si="1"/>
        <v>99</v>
      </c>
    </row>
    <row r="50" spans="8:16" ht="36.5" customHeight="1" x14ac:dyDescent="0.35">
      <c r="H50" s="21" t="s">
        <v>24</v>
      </c>
      <c r="I50" s="22"/>
      <c r="J50" s="22"/>
      <c r="K50" s="22"/>
      <c r="L50" s="22"/>
      <c r="M50" s="22"/>
    </row>
    <row r="51" spans="8:16" x14ac:dyDescent="0.35">
      <c r="H51" s="9" t="s">
        <v>13</v>
      </c>
      <c r="I51" s="9" t="s">
        <v>14</v>
      </c>
      <c r="J51" s="9" t="s">
        <v>15</v>
      </c>
      <c r="K51" s="9" t="s">
        <v>4</v>
      </c>
      <c r="L51" s="9" t="s">
        <v>25</v>
      </c>
    </row>
    <row r="52" spans="8:16" x14ac:dyDescent="0.35">
      <c r="H52" s="3">
        <v>1</v>
      </c>
      <c r="I52" s="3">
        <v>101</v>
      </c>
      <c r="J52" s="3">
        <v>2</v>
      </c>
      <c r="K52" s="3">
        <f>VLOOKUP(I52,Products!$B$3:$D$9,3,0)</f>
        <v>120</v>
      </c>
      <c r="L52" s="1">
        <f>J52*K52</f>
        <v>240</v>
      </c>
    </row>
    <row r="53" spans="8:16" x14ac:dyDescent="0.35">
      <c r="H53" s="3">
        <v>2</v>
      </c>
      <c r="I53" s="3">
        <v>103</v>
      </c>
      <c r="J53" s="3">
        <v>1</v>
      </c>
      <c r="K53" s="3">
        <f>VLOOKUP(I53,Products!$B$3:$D$9,3,0)</f>
        <v>200</v>
      </c>
      <c r="L53" s="1">
        <f t="shared" ref="L53:L57" si="2">J53*K53</f>
        <v>200</v>
      </c>
    </row>
    <row r="54" spans="8:16" x14ac:dyDescent="0.35">
      <c r="H54" s="3">
        <v>3</v>
      </c>
      <c r="I54" s="3">
        <v>105</v>
      </c>
      <c r="J54" s="3">
        <v>4</v>
      </c>
      <c r="K54" s="3">
        <f>VLOOKUP(I54,Products!$B$3:$D$9,3,0)</f>
        <v>220</v>
      </c>
      <c r="L54" s="1">
        <f t="shared" si="2"/>
        <v>880</v>
      </c>
    </row>
    <row r="55" spans="8:16" x14ac:dyDescent="0.35">
      <c r="H55" s="3">
        <v>4</v>
      </c>
      <c r="I55" s="3">
        <v>106</v>
      </c>
      <c r="J55" s="3">
        <v>3</v>
      </c>
      <c r="K55" s="3">
        <f>VLOOKUP(I55,Products!$B$3:$D$9,3,0)</f>
        <v>130</v>
      </c>
      <c r="L55" s="1">
        <f t="shared" si="2"/>
        <v>390</v>
      </c>
    </row>
    <row r="56" spans="8:16" x14ac:dyDescent="0.35">
      <c r="H56" s="3">
        <v>5</v>
      </c>
      <c r="I56" s="3">
        <v>102</v>
      </c>
      <c r="J56" s="3">
        <v>5</v>
      </c>
      <c r="K56" s="3">
        <f>VLOOKUP(I56,Products!$B$3:$D$9,3,0)</f>
        <v>150</v>
      </c>
      <c r="L56" s="1">
        <f t="shared" si="2"/>
        <v>750</v>
      </c>
    </row>
    <row r="57" spans="8:16" x14ac:dyDescent="0.35">
      <c r="H57" s="3">
        <v>6</v>
      </c>
      <c r="I57" s="3">
        <v>104</v>
      </c>
      <c r="J57" s="3">
        <v>6</v>
      </c>
      <c r="K57" s="3">
        <f>VLOOKUP(I57,Products!$B$3:$D$9,3,0)</f>
        <v>90</v>
      </c>
      <c r="L57" s="1">
        <f t="shared" si="2"/>
        <v>540</v>
      </c>
      <c r="N57" s="20" t="s">
        <v>26</v>
      </c>
      <c r="O57" s="20"/>
      <c r="P57" s="11">
        <f>MAX(L52:L57)</f>
        <v>880</v>
      </c>
    </row>
    <row r="61" spans="8:16" ht="30.5" customHeight="1" x14ac:dyDescent="0.35">
      <c r="H61" s="21" t="s">
        <v>31</v>
      </c>
      <c r="I61" s="22"/>
      <c r="J61" s="22"/>
      <c r="K61" s="22"/>
      <c r="L61" s="22"/>
      <c r="M61" s="22"/>
    </row>
    <row r="62" spans="8:16" x14ac:dyDescent="0.35">
      <c r="H62" s="9" t="s">
        <v>13</v>
      </c>
      <c r="I62" s="9" t="s">
        <v>14</v>
      </c>
      <c r="J62" s="9" t="s">
        <v>15</v>
      </c>
      <c r="K62" s="9" t="s">
        <v>32</v>
      </c>
      <c r="L62" s="18" t="s">
        <v>4</v>
      </c>
      <c r="M62" s="18" t="s">
        <v>33</v>
      </c>
      <c r="P62" s="1" t="s">
        <v>5</v>
      </c>
    </row>
    <row r="63" spans="8:16" x14ac:dyDescent="0.35">
      <c r="H63" s="3">
        <v>1</v>
      </c>
      <c r="I63" s="3">
        <v>101</v>
      </c>
      <c r="J63" s="3">
        <v>2</v>
      </c>
      <c r="K63" s="3" t="str">
        <f>VLOOKUP(I63,Products!$B$3:$D$11,2,0)</f>
        <v>Product A</v>
      </c>
      <c r="L63" s="1">
        <f>VLOOKUP(I63,Products!$B$3:$D$11,3,0)</f>
        <v>120</v>
      </c>
      <c r="M63" s="1">
        <f>L63*J63</f>
        <v>240</v>
      </c>
      <c r="P63" s="1" t="s">
        <v>6</v>
      </c>
    </row>
    <row r="64" spans="8:16" x14ac:dyDescent="0.35">
      <c r="H64" s="3">
        <v>2</v>
      </c>
      <c r="I64" s="3">
        <v>103</v>
      </c>
      <c r="J64" s="3">
        <v>1</v>
      </c>
      <c r="K64" s="3" t="str">
        <f>VLOOKUP(I64,Products!$B$3:$D$11,2,0)</f>
        <v>Product C</v>
      </c>
      <c r="L64" s="1">
        <f>VLOOKUP(I64,Products!$B$3:$D$11,3,0)</f>
        <v>200</v>
      </c>
      <c r="M64" s="1">
        <f t="shared" ref="M64:M70" si="3">L64*J64</f>
        <v>200</v>
      </c>
      <c r="P64" s="1" t="s">
        <v>7</v>
      </c>
    </row>
    <row r="65" spans="8:16" x14ac:dyDescent="0.35">
      <c r="H65" s="3">
        <v>3</v>
      </c>
      <c r="I65" s="3">
        <v>105</v>
      </c>
      <c r="J65" s="3">
        <v>4</v>
      </c>
      <c r="K65" s="3" t="str">
        <f>VLOOKUP(I65,Products!$B$3:$D$11,2,0)</f>
        <v>Product E</v>
      </c>
      <c r="L65" s="1">
        <f>VLOOKUP(I65,Products!$B$3:$D$11,3,0)</f>
        <v>220</v>
      </c>
      <c r="M65" s="1">
        <f t="shared" si="3"/>
        <v>880</v>
      </c>
      <c r="P65" s="1" t="s">
        <v>8</v>
      </c>
    </row>
    <row r="66" spans="8:16" x14ac:dyDescent="0.35">
      <c r="H66" s="3">
        <v>4</v>
      </c>
      <c r="I66" s="3">
        <v>106</v>
      </c>
      <c r="J66" s="3">
        <v>3</v>
      </c>
      <c r="K66" s="3" t="str">
        <f>VLOOKUP(I66,Products!$B$3:$D$11,2,0)</f>
        <v>Product F</v>
      </c>
      <c r="L66" s="1">
        <f>VLOOKUP(I66,Products!$B$3:$D$11,3,0)</f>
        <v>130</v>
      </c>
      <c r="M66" s="1">
        <f t="shared" si="3"/>
        <v>390</v>
      </c>
      <c r="P66" s="1" t="s">
        <v>9</v>
      </c>
    </row>
    <row r="67" spans="8:16" x14ac:dyDescent="0.35">
      <c r="H67" s="3">
        <v>5</v>
      </c>
      <c r="I67" s="3">
        <v>102</v>
      </c>
      <c r="J67" s="3">
        <v>5</v>
      </c>
      <c r="K67" s="3" t="str">
        <f>VLOOKUP(I67,Products!$B$3:$D$11,2,0)</f>
        <v>Product B</v>
      </c>
      <c r="L67" s="1">
        <f>VLOOKUP(I67,Products!$B$3:$D$11,3,0)</f>
        <v>150</v>
      </c>
      <c r="M67" s="1">
        <f t="shared" si="3"/>
        <v>750</v>
      </c>
      <c r="P67" s="1" t="s">
        <v>10</v>
      </c>
    </row>
    <row r="68" spans="8:16" x14ac:dyDescent="0.35">
      <c r="H68" s="3">
        <v>6</v>
      </c>
      <c r="I68" s="3">
        <v>104</v>
      </c>
      <c r="J68" s="3">
        <v>6</v>
      </c>
      <c r="K68" s="3" t="str">
        <f>VLOOKUP(I68,Products!$B$3:$D$11,2,0)</f>
        <v>Product D</v>
      </c>
      <c r="L68" s="1">
        <f>VLOOKUP(I68,Products!$B$3:$D$11,3,0)</f>
        <v>90</v>
      </c>
      <c r="M68" s="1">
        <f t="shared" si="3"/>
        <v>540</v>
      </c>
      <c r="P68" s="3" t="s">
        <v>27</v>
      </c>
    </row>
    <row r="69" spans="8:16" x14ac:dyDescent="0.35">
      <c r="H69" s="3">
        <v>7</v>
      </c>
      <c r="I69" s="3">
        <v>107</v>
      </c>
      <c r="J69" s="3">
        <v>7</v>
      </c>
      <c r="K69" s="3" t="str">
        <f>VLOOKUP(I69,Products!$B$3:$D$11,2,0)</f>
        <v>Product G</v>
      </c>
      <c r="L69" s="1">
        <f>VLOOKUP(I69,Products!$B$3:$D$11,3,0)</f>
        <v>250</v>
      </c>
      <c r="M69" s="1">
        <f t="shared" si="3"/>
        <v>1750</v>
      </c>
      <c r="P69" s="3" t="s">
        <v>28</v>
      </c>
    </row>
    <row r="70" spans="8:16" x14ac:dyDescent="0.35">
      <c r="H70" s="3">
        <v>8</v>
      </c>
      <c r="I70" s="3">
        <v>102</v>
      </c>
      <c r="J70" s="3">
        <v>2</v>
      </c>
      <c r="K70" s="3" t="str">
        <f>VLOOKUP(I70,Products!$B$3:$D$11,2,0)</f>
        <v>Product B</v>
      </c>
      <c r="L70" s="1">
        <f>VLOOKUP(I70,Products!$B$3:$D$11,3,0)</f>
        <v>150</v>
      </c>
      <c r="M70" s="1">
        <f t="shared" si="3"/>
        <v>300</v>
      </c>
    </row>
    <row r="73" spans="8:16" x14ac:dyDescent="0.35">
      <c r="M73" s="9" t="s">
        <v>32</v>
      </c>
      <c r="N73" s="19" t="s">
        <v>34</v>
      </c>
    </row>
    <row r="74" spans="8:16" x14ac:dyDescent="0.35">
      <c r="M74" t="s">
        <v>6</v>
      </c>
      <c r="N74">
        <f>SUMIF(K63:K70,M74,M63:M70)</f>
        <v>1050</v>
      </c>
    </row>
  </sheetData>
  <mergeCells count="7">
    <mergeCell ref="N57:O57"/>
    <mergeCell ref="H61:M61"/>
    <mergeCell ref="H3:M3"/>
    <mergeCell ref="H15:M15"/>
    <mergeCell ref="H26:M26"/>
    <mergeCell ref="H38:M38"/>
    <mergeCell ref="H50:M50"/>
  </mergeCells>
  <dataValidations count="1">
    <dataValidation type="list" allowBlank="1" showInputMessage="1" showErrorMessage="1" sqref="M74" xr:uid="{9EC7D1E0-D776-47C0-9DD6-D71D3FEB4B87}">
      <formula1>$P$62:$P$69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Md. Tahir Hasan Mondal</cp:lastModifiedBy>
  <dcterms:created xsi:type="dcterms:W3CDTF">2026-05-21T06:20:47Z</dcterms:created>
  <dcterms:modified xsi:type="dcterms:W3CDTF">2026-05-25T19:42:47Z</dcterms:modified>
</cp:coreProperties>
</file>