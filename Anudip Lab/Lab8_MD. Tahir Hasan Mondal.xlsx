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123" documentId="8_{20BFDDA2-DAF0-400D-967B-5E63FF8FE8DB}" xr6:coauthVersionLast="47" xr6:coauthVersionMax="47" xr10:uidLastSave="{6C075772-1BCB-4F18-B376-98F8E84D763D}"/>
  <bookViews>
    <workbookView xWindow="-110" yWindow="-110" windowWidth="19420" windowHeight="11500" xr2:uid="{BB80DF12-B7B9-4EB4-99BB-4188DF78CE0E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K64" i="1"/>
  <c r="K12" i="1"/>
  <c r="J55" i="1"/>
  <c r="K46" i="1"/>
  <c r="J37" i="1"/>
  <c r="J29" i="1"/>
  <c r="J28" i="1"/>
  <c r="J20" i="1"/>
</calcChain>
</file>

<file path=xl/sharedStrings.xml><?xml version="1.0" encoding="utf-8"?>
<sst xmlns="http://schemas.openxmlformats.org/spreadsheetml/2006/main" count="64" uniqueCount="32">
  <si>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</si>
  <si>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</si>
  <si>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</si>
  <si>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</si>
  <si>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</si>
  <si>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</si>
  <si>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</si>
  <si>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</si>
  <si>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</si>
  <si>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</si>
  <si>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</si>
  <si>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</si>
  <si>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</si>
  <si>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</si>
  <si>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</si>
  <si>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</si>
  <si>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</si>
  <si>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 xml:space="preserve">1. Use INDEX and MATCH to find the sales for Product C in March. </t>
  </si>
  <si>
    <t xml:space="preserve">2. Use INDEX and MATCH to find the category for Product E. </t>
  </si>
  <si>
    <t xml:space="preserve">3.  Use INDEX and MATCH to find the maximum sales for Product B 
across all months. </t>
  </si>
  <si>
    <t>Max Sales</t>
  </si>
  <si>
    <t>Maximun Sale
Month</t>
  </si>
  <si>
    <t>Month</t>
  </si>
  <si>
    <t>Sale Amount</t>
  </si>
  <si>
    <t xml:space="preserve">5.  Use INDEX, MATCH, and SUMIF to sum the sales for all products in 
the "Electronics" category for April. </t>
  </si>
  <si>
    <t>Total Sale</t>
  </si>
  <si>
    <t xml:space="preserve">6. Use INDEX and MATCH to calculate the average sales for Product D 
across all months. </t>
  </si>
  <si>
    <t xml:space="preserve">Average Sales </t>
  </si>
  <si>
    <t xml:space="preserve">7. Use INDEX and MATCH to find the sales for Product ID 105 in May. </t>
  </si>
  <si>
    <t>Sales</t>
  </si>
  <si>
    <t xml:space="preserve">8. Use INDEX and MATCH to create a dynamic lookup where the user 
can input a product and a month, and the formula returns the 
corresponding sales. 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</si>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</sst>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4" borderId="7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" fillId="0" borderId="0" xfId="0" applyFont="1"/>
    <xf numFmtId="0" fontId="2" fillId="4" borderId="10" xfId="0" applyFont="1" applyFill="1" applyBorder="1" applyAlignment="1">
      <alignment horizontal="left" vertical="top"/>
    </xf>
    <xf numFmtId="0" fontId="2" fillId="4" borderId="11" xfId="0" applyFont="1" applyFill="1" applyBorder="1" applyAlignment="1">
      <alignment horizontal="left" vertical="top"/>
    </xf>
    <xf numFmtId="0" fontId="2" fillId="4" borderId="12" xfId="0" applyFont="1" applyFill="1" applyBorder="1" applyAlignment="1">
      <alignment horizontal="left" vertical="top"/>
    </xf>
    <xf numFmtId="0" fontId="2" fillId="4" borderId="13" xfId="0" applyFont="1" applyFill="1" applyBorder="1" applyAlignment="1">
      <alignment horizontal="left" vertical="top"/>
    </xf>
    <xf numFmtId="0" fontId="2" fillId="4" borderId="14" xfId="0" applyFont="1" applyFill="1" applyBorder="1" applyAlignment="1">
      <alignment horizontal="left" vertical="top"/>
    </xf>
    <xf numFmtId="0" fontId="2" fillId="4" borderId="15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9" xfId="0" applyFon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/>
    <xf numFmtId="0" fontId="0" fillId="0" borderId="14" xfId="0" applyBorder="1"/>
    <xf numFmtId="0" fontId="0" fillId="0" borderId="16" xfId="0" applyBorder="1"/>
    <xf numFmtId="0" fontId="0" fillId="4" borderId="20" xfId="0" applyFill="1" applyBorder="1" applyAlignment="1">
      <alignment horizontal="left" vertical="top"/>
    </xf>
    <xf numFmtId="0" fontId="0" fillId="4" borderId="18" xfId="0" applyFill="1" applyBorder="1" applyAlignment="1">
      <alignment horizontal="left" vertical="top"/>
    </xf>
    <xf numFmtId="0" fontId="0" fillId="4" borderId="21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4" borderId="22" xfId="0" applyFill="1" applyBorder="1" applyAlignment="1">
      <alignment horizontal="left" vertical="top"/>
    </xf>
    <xf numFmtId="0" fontId="0" fillId="4" borderId="23" xfId="0" applyFill="1" applyBorder="1" applyAlignment="1">
      <alignment horizontal="left" vertical="top"/>
    </xf>
    <xf numFmtId="0" fontId="0" fillId="4" borderId="24" xfId="0" applyFill="1" applyBorder="1" applyAlignment="1">
      <alignment horizontal="left" vertical="top"/>
    </xf>
    <xf numFmtId="0" fontId="0" fillId="4" borderId="25" xfId="0" applyFill="1" applyBorder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0" xfId="0" applyFont="1" applyFill="1" applyBorder="1" applyAlignment="1">
      <alignment horizontal="left" vertical="top"/>
    </xf>
    <xf numFmtId="0" fontId="2" fillId="4" borderId="18" xfId="0" applyFont="1" applyFill="1" applyBorder="1" applyAlignment="1">
      <alignment horizontal="left" vertical="top"/>
    </xf>
    <xf numFmtId="0" fontId="2" fillId="4" borderId="21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0" fontId="2" fillId="4" borderId="23" xfId="0" applyFont="1" applyFill="1" applyBorder="1" applyAlignment="1">
      <alignment horizontal="left" vertical="top"/>
    </xf>
    <xf numFmtId="0" fontId="2" fillId="4" borderId="24" xfId="0" applyFont="1" applyFill="1" applyBorder="1" applyAlignment="1">
      <alignment horizontal="left" vertical="top"/>
    </xf>
    <xf numFmtId="0" fontId="2" fillId="4" borderId="25" xfId="0" applyFont="1" applyFill="1" applyBorder="1" applyAlignment="1">
      <alignment horizontal="left" vertical="top"/>
    </xf>
    <xf numFmtId="0" fontId="1" fillId="2" borderId="26" xfId="0" applyFont="1" applyFill="1" applyBorder="1" applyAlignment="1">
      <alignment horizontal="left" vertical="center" wrapText="1"/>
    </xf>
    <xf numFmtId="0" fontId="0" fillId="0" borderId="15" xfId="0" applyBorder="1"/>
    <xf numFmtId="0" fontId="2" fillId="4" borderId="19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527D-53B8-4D1C-BD07-607FE62227E2}">
  <dimension ref="A1:S73"/>
  <sheetViews>
    <sheetView tabSelected="1" topLeftCell="F56" workbookViewId="0">
      <selection activeCell="K74" sqref="K74"/>
    </sheetView>
  </sheetViews>
  <sheetFormatPr defaultRowHeight="14.5" x14ac:dyDescent="0.35"/>
  <cols>
    <col min="1" max="1" width="10.1796875" customWidth="1"/>
    <col min="2" max="2" width="14.90625" customWidth="1"/>
    <col min="3" max="3" width="12.36328125" customWidth="1"/>
    <col min="8" max="8" width="13.90625" customWidth="1"/>
    <col min="9" max="9" width="10.81640625" customWidth="1"/>
    <col min="10" max="10" width="16.1796875" customWidth="1"/>
    <col min="11" max="11" width="14" customWidth="1"/>
  </cols>
  <sheetData>
    <row r="1" spans="1:1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9" x14ac:dyDescent="0.35">
      <c r="A2" s="3">
        <v>101</v>
      </c>
      <c r="B2" s="3" t="s">
        <v>8</v>
      </c>
      <c r="C2" s="3" t="s">
        <v>9</v>
      </c>
      <c r="D2" s="3">
        <v>120</v>
      </c>
      <c r="E2" s="3">
        <v>130</v>
      </c>
      <c r="F2" s="3">
        <v>140</v>
      </c>
      <c r="G2" s="3">
        <v>150</v>
      </c>
      <c r="H2" s="3">
        <v>160</v>
      </c>
      <c r="S2" s="2" t="s">
        <v>3</v>
      </c>
    </row>
    <row r="3" spans="1:19" x14ac:dyDescent="0.35">
      <c r="A3" s="1">
        <v>102</v>
      </c>
      <c r="B3" s="1" t="s">
        <v>10</v>
      </c>
      <c r="C3" s="1" t="s">
        <v>11</v>
      </c>
      <c r="D3" s="1">
        <v>150</v>
      </c>
      <c r="E3" s="1">
        <v>160</v>
      </c>
      <c r="F3" s="1">
        <v>170</v>
      </c>
      <c r="G3" s="1">
        <v>180</v>
      </c>
      <c r="H3" s="1">
        <v>190</v>
      </c>
      <c r="S3" s="2" t="s">
        <v>4</v>
      </c>
    </row>
    <row r="4" spans="1:19" ht="29" x14ac:dyDescent="0.35">
      <c r="A4" s="3">
        <v>103</v>
      </c>
      <c r="B4" s="3" t="s">
        <v>12</v>
      </c>
      <c r="C4" s="3" t="s">
        <v>9</v>
      </c>
      <c r="D4" s="3">
        <v>300</v>
      </c>
      <c r="E4" s="3">
        <v>210</v>
      </c>
      <c r="F4" s="3">
        <v>220</v>
      </c>
      <c r="G4" s="3">
        <v>230</v>
      </c>
      <c r="H4" s="3">
        <v>240</v>
      </c>
      <c r="S4" s="2" t="s">
        <v>5</v>
      </c>
    </row>
    <row r="5" spans="1:19" x14ac:dyDescent="0.35">
      <c r="A5" s="1">
        <v>104</v>
      </c>
      <c r="B5" s="1" t="s">
        <v>13</v>
      </c>
      <c r="C5" s="1" t="s">
        <v>14</v>
      </c>
      <c r="D5" s="1">
        <v>90</v>
      </c>
      <c r="E5" s="1">
        <v>100</v>
      </c>
      <c r="F5" s="1">
        <v>110</v>
      </c>
      <c r="G5" s="1">
        <v>120</v>
      </c>
      <c r="H5" s="1">
        <v>130</v>
      </c>
      <c r="S5" s="2" t="s">
        <v>6</v>
      </c>
    </row>
    <row r="6" spans="1:19" ht="29" x14ac:dyDescent="0.35">
      <c r="A6" s="3">
        <v>105</v>
      </c>
      <c r="B6" s="3" t="s">
        <v>15</v>
      </c>
      <c r="C6" s="3" t="s">
        <v>11</v>
      </c>
      <c r="D6" s="3">
        <v>220</v>
      </c>
      <c r="E6" s="3">
        <v>230</v>
      </c>
      <c r="F6" s="3">
        <v>240</v>
      </c>
      <c r="G6" s="3">
        <v>250</v>
      </c>
      <c r="H6" s="3">
        <v>260</v>
      </c>
      <c r="S6" s="2" t="s">
        <v>7</v>
      </c>
    </row>
    <row r="7" spans="1:19" x14ac:dyDescent="0.35">
      <c r="A7" s="1">
        <v>106</v>
      </c>
      <c r="B7" s="1" t="s">
        <v>16</v>
      </c>
      <c r="C7" s="1" t="s">
        <v>9</v>
      </c>
      <c r="D7" s="1">
        <v>130</v>
      </c>
      <c r="E7" s="1">
        <v>140</v>
      </c>
      <c r="F7" s="1">
        <v>150</v>
      </c>
      <c r="G7" s="1">
        <v>160</v>
      </c>
      <c r="H7" s="1">
        <v>170</v>
      </c>
    </row>
    <row r="9" spans="1:19" x14ac:dyDescent="0.35">
      <c r="I9" s="8" t="s">
        <v>17</v>
      </c>
      <c r="J9" s="8"/>
      <c r="K9" s="8"/>
      <c r="L9" s="8"/>
      <c r="M9" s="8"/>
      <c r="N9" s="8"/>
      <c r="O9" s="8"/>
      <c r="P9" s="8"/>
    </row>
    <row r="10" spans="1:19" x14ac:dyDescent="0.35">
      <c r="I10" s="8"/>
      <c r="J10" s="8"/>
      <c r="K10" s="8"/>
      <c r="L10" s="8"/>
      <c r="M10" s="8"/>
      <c r="N10" s="8"/>
      <c r="O10" s="8"/>
      <c r="P10" s="8"/>
    </row>
    <row r="11" spans="1:19" x14ac:dyDescent="0.35">
      <c r="I11" s="7" t="s">
        <v>1</v>
      </c>
      <c r="J11" s="7" t="s">
        <v>22</v>
      </c>
      <c r="K11" s="5" t="s">
        <v>23</v>
      </c>
    </row>
    <row r="12" spans="1:19" x14ac:dyDescent="0.35">
      <c r="I12" s="4" t="s">
        <v>10</v>
      </c>
      <c r="J12" s="4" t="s">
        <v>3</v>
      </c>
      <c r="K12" s="4">
        <f>INDEX($A$1:$H$7,MATCH($I$12,$B$1:$B$7,0),MATCH($J$12,$A$1:$H$1,0))</f>
        <v>150</v>
      </c>
    </row>
    <row r="17" spans="9:16" x14ac:dyDescent="0.35">
      <c r="I17" s="9" t="s">
        <v>18</v>
      </c>
      <c r="J17" s="10"/>
      <c r="K17" s="10"/>
      <c r="L17" s="10"/>
      <c r="M17" s="10"/>
      <c r="N17" s="10"/>
      <c r="O17" s="10"/>
      <c r="P17" s="11"/>
    </row>
    <row r="18" spans="9:16" x14ac:dyDescent="0.35">
      <c r="I18" s="12"/>
      <c r="J18" s="13"/>
      <c r="K18" s="13"/>
      <c r="L18" s="13"/>
      <c r="M18" s="13"/>
      <c r="N18" s="13"/>
      <c r="O18" s="13"/>
      <c r="P18" s="14"/>
    </row>
    <row r="19" spans="9:16" x14ac:dyDescent="0.35">
      <c r="I19" s="2" t="s">
        <v>1</v>
      </c>
      <c r="J19" s="2" t="s">
        <v>2</v>
      </c>
    </row>
    <row r="20" spans="9:16" x14ac:dyDescent="0.35">
      <c r="I20" t="s">
        <v>15</v>
      </c>
      <c r="J20" t="str">
        <f>INDEX($C$1:$C$7,MATCH(I20,$B$1:$B$7,0))</f>
        <v>Furniture</v>
      </c>
    </row>
    <row r="25" spans="9:16" x14ac:dyDescent="0.35">
      <c r="I25" s="15" t="s">
        <v>19</v>
      </c>
      <c r="J25" s="8"/>
      <c r="K25" s="8"/>
      <c r="L25" s="8"/>
      <c r="M25" s="8"/>
      <c r="N25" s="8"/>
      <c r="O25" s="8"/>
      <c r="P25" s="8"/>
    </row>
    <row r="26" spans="9:16" x14ac:dyDescent="0.35">
      <c r="I26" s="8"/>
      <c r="J26" s="8"/>
      <c r="K26" s="8"/>
      <c r="L26" s="8"/>
      <c r="M26" s="8"/>
      <c r="N26" s="8"/>
      <c r="O26" s="8"/>
      <c r="P26" s="8"/>
    </row>
    <row r="27" spans="9:16" x14ac:dyDescent="0.35">
      <c r="I27" s="7" t="s">
        <v>1</v>
      </c>
      <c r="J27" s="5" t="s">
        <v>20</v>
      </c>
    </row>
    <row r="28" spans="9:16" x14ac:dyDescent="0.35">
      <c r="I28" s="4" t="s">
        <v>8</v>
      </c>
      <c r="J28" s="4">
        <f>MAX(INDEX($D$1:$D$7,MATCH($I$28,$B$1:$B$7,0)),INDEX($E$1:$E$7,MATCH($I$28,$B$1:$B$7,0)),INDEX($F$1:$F$7,MATCH($I$28,$B$1:$B$7,0)),INDEX($G$1:$G$7,MATCH($I$28,$B$1:$B$7,0)),INDEX($H$1:$H$7,MATCH($I$28,$B$1:$B$7,0)))</f>
        <v>160</v>
      </c>
    </row>
    <row r="29" spans="9:16" x14ac:dyDescent="0.35">
      <c r="I29" s="4" t="s">
        <v>10</v>
      </c>
      <c r="J29" s="4">
        <f>MAX(INDEX($D$2:$H$7,MATCH($I$29,$B$2:$B$7,0),))</f>
        <v>190</v>
      </c>
    </row>
    <row r="33" spans="4:16" x14ac:dyDescent="0.35">
      <c r="I33" s="15"/>
      <c r="J33" s="8"/>
      <c r="K33" s="8"/>
      <c r="L33" s="8"/>
      <c r="M33" s="8"/>
      <c r="N33" s="8"/>
      <c r="O33" s="8"/>
      <c r="P33" s="8"/>
    </row>
    <row r="34" spans="4:16" x14ac:dyDescent="0.35">
      <c r="I34" s="8"/>
      <c r="J34" s="8"/>
      <c r="K34" s="8"/>
      <c r="L34" s="8"/>
      <c r="M34" s="8"/>
      <c r="N34" s="8"/>
      <c r="O34" s="8"/>
      <c r="P34" s="8"/>
    </row>
    <row r="35" spans="4:16" x14ac:dyDescent="0.35">
      <c r="I35" s="8"/>
      <c r="J35" s="8"/>
      <c r="K35" s="8"/>
      <c r="L35" s="8"/>
      <c r="M35" s="8"/>
      <c r="N35" s="8"/>
      <c r="O35" s="8"/>
      <c r="P35" s="8"/>
    </row>
    <row r="36" spans="4:16" ht="29" x14ac:dyDescent="0.35">
      <c r="I36" s="7" t="s">
        <v>1</v>
      </c>
      <c r="J36" s="6" t="s">
        <v>21</v>
      </c>
    </row>
    <row r="37" spans="4:16" x14ac:dyDescent="0.35">
      <c r="I37" s="4" t="s">
        <v>12</v>
      </c>
      <c r="J37" s="4" t="str">
        <f>INDEX(D1:H1,MATCH(MAX(INDEX(D2:H7,MATCH(I37,B2:B7,0),0)),INDEX(D2:H7,MATCH(I37,B2:B7,0),0),0))</f>
        <v>Jan Sales</v>
      </c>
    </row>
    <row r="39" spans="4:16" x14ac:dyDescent="0.35">
      <c r="D39" s="17"/>
    </row>
    <row r="42" spans="4:16" x14ac:dyDescent="0.35">
      <c r="I42" s="15" t="s">
        <v>24</v>
      </c>
      <c r="J42" s="16"/>
      <c r="K42" s="16"/>
      <c r="L42" s="16"/>
      <c r="M42" s="16"/>
      <c r="N42" s="16"/>
      <c r="O42" s="16"/>
      <c r="P42" s="16"/>
    </row>
    <row r="43" spans="4:16" x14ac:dyDescent="0.35">
      <c r="I43" s="16"/>
      <c r="J43" s="16"/>
      <c r="K43" s="16"/>
      <c r="L43" s="16"/>
      <c r="M43" s="16"/>
      <c r="N43" s="16"/>
      <c r="O43" s="16"/>
      <c r="P43" s="16"/>
    </row>
    <row r="44" spans="4:16" x14ac:dyDescent="0.35">
      <c r="I44" s="16"/>
      <c r="J44" s="16"/>
      <c r="K44" s="16"/>
      <c r="L44" s="16"/>
      <c r="M44" s="16"/>
      <c r="N44" s="16"/>
      <c r="O44" s="16"/>
      <c r="P44" s="16"/>
    </row>
    <row r="45" spans="4:16" x14ac:dyDescent="0.35">
      <c r="I45" s="2" t="s">
        <v>2</v>
      </c>
      <c r="J45" s="2" t="s">
        <v>22</v>
      </c>
      <c r="K45" s="5" t="s">
        <v>25</v>
      </c>
    </row>
    <row r="46" spans="4:16" x14ac:dyDescent="0.35">
      <c r="I46" s="4" t="s">
        <v>9</v>
      </c>
      <c r="J46" s="4" t="s">
        <v>4</v>
      </c>
      <c r="K46" s="4">
        <f>SUMIF(C2:C7,I46,INDEX(D2:H7,,MATCH(J46,D1:H1,0)))</f>
        <v>480</v>
      </c>
    </row>
    <row r="50" spans="9:16" ht="15" thickBot="1" x14ac:dyDescent="0.4"/>
    <row r="51" spans="9:16" x14ac:dyDescent="0.35">
      <c r="I51" s="25" t="s">
        <v>26</v>
      </c>
      <c r="J51" s="18"/>
      <c r="K51" s="18"/>
      <c r="L51" s="18"/>
      <c r="M51" s="18"/>
      <c r="N51" s="18"/>
      <c r="O51" s="18"/>
      <c r="P51" s="19"/>
    </row>
    <row r="52" spans="9:16" x14ac:dyDescent="0.35">
      <c r="I52" s="20"/>
      <c r="J52" s="8"/>
      <c r="K52" s="8"/>
      <c r="L52" s="8"/>
      <c r="M52" s="8"/>
      <c r="N52" s="8"/>
      <c r="O52" s="8"/>
      <c r="P52" s="21"/>
    </row>
    <row r="53" spans="9:16" ht="15" thickBot="1" x14ac:dyDescent="0.4">
      <c r="I53" s="22"/>
      <c r="J53" s="23"/>
      <c r="K53" s="23"/>
      <c r="L53" s="23"/>
      <c r="M53" s="23"/>
      <c r="N53" s="23"/>
      <c r="O53" s="23"/>
      <c r="P53" s="24"/>
    </row>
    <row r="54" spans="9:16" x14ac:dyDescent="0.35">
      <c r="I54" s="26" t="s">
        <v>1</v>
      </c>
      <c r="J54" s="27" t="s">
        <v>27</v>
      </c>
    </row>
    <row r="55" spans="9:16" ht="15" thickBot="1" x14ac:dyDescent="0.4">
      <c r="I55" s="28" t="s">
        <v>10</v>
      </c>
      <c r="J55" s="29">
        <f>AVERAGE(INDEX(D2:H7,MATCH($I$55,B2:B7,0),0))</f>
        <v>170</v>
      </c>
    </row>
    <row r="59" spans="9:16" ht="15" thickBot="1" x14ac:dyDescent="0.4"/>
    <row r="60" spans="9:16" x14ac:dyDescent="0.35">
      <c r="I60" s="38" t="s">
        <v>28</v>
      </c>
      <c r="J60" s="39"/>
      <c r="K60" s="39"/>
      <c r="L60" s="39"/>
      <c r="M60" s="39"/>
      <c r="N60" s="39"/>
      <c r="O60" s="39"/>
      <c r="P60" s="40"/>
    </row>
    <row r="61" spans="9:16" x14ac:dyDescent="0.35">
      <c r="I61" s="41"/>
      <c r="J61" s="42"/>
      <c r="K61" s="42"/>
      <c r="L61" s="42"/>
      <c r="M61" s="42"/>
      <c r="N61" s="42"/>
      <c r="O61" s="42"/>
      <c r="P61" s="43"/>
    </row>
    <row r="62" spans="9:16" ht="15" thickBot="1" x14ac:dyDescent="0.4">
      <c r="I62" s="44"/>
      <c r="J62" s="45"/>
      <c r="K62" s="45"/>
      <c r="L62" s="45"/>
      <c r="M62" s="45"/>
      <c r="N62" s="45"/>
      <c r="O62" s="45"/>
      <c r="P62" s="46"/>
    </row>
    <row r="63" spans="9:16" x14ac:dyDescent="0.35">
      <c r="I63" s="26" t="s">
        <v>31</v>
      </c>
      <c r="J63" s="47" t="s">
        <v>22</v>
      </c>
      <c r="K63" s="27" t="s">
        <v>29</v>
      </c>
    </row>
    <row r="64" spans="9:16" ht="15" thickBot="1" x14ac:dyDescent="0.4">
      <c r="I64" s="50">
        <v>105</v>
      </c>
      <c r="J64" s="48" t="s">
        <v>7</v>
      </c>
      <c r="K64" s="29">
        <f>INDEX($A$1:$H$7,MATCH($I$64,$A$1:$A$7,0),MATCH($J$64,$A$1:$H$1,0))</f>
        <v>260</v>
      </c>
    </row>
    <row r="68" spans="9:16" ht="15" thickBot="1" x14ac:dyDescent="0.4"/>
    <row r="69" spans="9:16" x14ac:dyDescent="0.35">
      <c r="I69" s="49" t="s">
        <v>30</v>
      </c>
      <c r="J69" s="30"/>
      <c r="K69" s="30"/>
      <c r="L69" s="30"/>
      <c r="M69" s="30"/>
      <c r="N69" s="30"/>
      <c r="O69" s="30"/>
      <c r="P69" s="31"/>
    </row>
    <row r="70" spans="9:16" x14ac:dyDescent="0.35">
      <c r="I70" s="32"/>
      <c r="J70" s="33"/>
      <c r="K70" s="33"/>
      <c r="L70" s="33"/>
      <c r="M70" s="33"/>
      <c r="N70" s="33"/>
      <c r="O70" s="33"/>
      <c r="P70" s="34"/>
    </row>
    <row r="71" spans="9:16" ht="15" thickBot="1" x14ac:dyDescent="0.4">
      <c r="I71" s="35"/>
      <c r="J71" s="36"/>
      <c r="K71" s="36"/>
      <c r="L71" s="36"/>
      <c r="M71" s="36"/>
      <c r="N71" s="36"/>
      <c r="O71" s="36"/>
      <c r="P71" s="37"/>
    </row>
    <row r="72" spans="9:16" x14ac:dyDescent="0.35">
      <c r="I72" s="26" t="s">
        <v>1</v>
      </c>
      <c r="J72" s="47" t="s">
        <v>22</v>
      </c>
      <c r="K72" s="27" t="s">
        <v>29</v>
      </c>
    </row>
    <row r="73" spans="9:16" ht="15" thickBot="1" x14ac:dyDescent="0.4">
      <c r="I73" s="28" t="s">
        <v>10</v>
      </c>
      <c r="J73" s="48" t="s">
        <v>3</v>
      </c>
      <c r="K73" s="29">
        <f>INDEX($A$1:$H$7,MATCH($I$73,$B$1:$B$7,0),MATCH($J$73,$A$1:$H$1,0))</f>
        <v>150</v>
      </c>
    </row>
  </sheetData>
  <mergeCells count="8">
    <mergeCell ref="I51:P53"/>
    <mergeCell ref="I60:P62"/>
    <mergeCell ref="I69:P71"/>
    <mergeCell ref="I9:P10"/>
    <mergeCell ref="I17:P18"/>
    <mergeCell ref="I25:P26"/>
    <mergeCell ref="I33:P35"/>
    <mergeCell ref="I42:P44"/>
  </mergeCells>
  <dataValidations count="5">
    <dataValidation type="list" allowBlank="1" showInputMessage="1" showErrorMessage="1" sqref="I12 I20 I28:I29 I37 I55 I73" xr:uid="{C8313AF0-A11B-4093-807A-40C459DC854C}">
      <formula1>$B$2:$B$7</formula1>
    </dataValidation>
    <dataValidation type="list" allowBlank="1" showInputMessage="1" showErrorMessage="1" sqref="J12 J64 J73" xr:uid="{79AF25C8-4C49-418E-91D2-51E7B536480F}">
      <formula1>$S$2:$S$6</formula1>
    </dataValidation>
    <dataValidation type="list" allowBlank="1" showInputMessage="1" showErrorMessage="1" sqref="I46" xr:uid="{5F0596FB-2A4D-4F18-802C-9A1A755A8837}">
      <formula1>$C$2:$C$7</formula1>
    </dataValidation>
    <dataValidation type="list" allowBlank="1" showInputMessage="1" showErrorMessage="1" sqref="J46" xr:uid="{643DF6DC-9BF2-4C91-80AE-0A1F6F10A6A9}">
      <formula1>$D$1:$H$1</formula1>
    </dataValidation>
    <dataValidation type="list" allowBlank="1" showInputMessage="1" showErrorMessage="1" sqref="I64" xr:uid="{6034EAFE-BF54-4DCA-9785-9C57B1CA51B3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2026-05-26T06:25:25Z</dcterms:created>
  <dcterms:modified xsi:type="dcterms:W3CDTF">2026-05-27T05:34:31Z</dcterms:modified>
</cp:coreProperties>
</file>